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 project\"/>
    </mc:Choice>
  </mc:AlternateContent>
  <xr:revisionPtr revIDLastSave="0" documentId="13_ncr:1_{7FC2EC18-4E3F-4F2F-8ADE-18F9D104E213}" xr6:coauthVersionLast="47" xr6:coauthVersionMax="47" xr10:uidLastSave="{00000000-0000-0000-0000-000000000000}"/>
  <bookViews>
    <workbookView xWindow="-120" yWindow="-120" windowWidth="20730" windowHeight="11160" activeTab="1" xr2:uid="{9E979F4B-DF2D-4A2D-9F2A-276A5CE21E59}"/>
  </bookViews>
  <sheets>
    <sheet name="in" sheetId="1" r:id="rId1"/>
    <sheet name="Dasbboard" sheetId="2" r:id="rId2"/>
  </sheets>
  <definedNames>
    <definedName name="Slicer_Months">#N/A</definedName>
  </definedNames>
  <calcPr calcId="191028"/>
  <pivotCaches>
    <pivotCache cacheId="0" r:id="rId3"/>
    <pivotCache cacheId="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</calcChain>
</file>

<file path=xl/sharedStrings.xml><?xml version="1.0" encoding="utf-8"?>
<sst xmlns="http://schemas.openxmlformats.org/spreadsheetml/2006/main" count="7090" uniqueCount="95">
  <si>
    <t>Order_ID</t>
  </si>
  <si>
    <t>Date</t>
  </si>
  <si>
    <t>Product_Category</t>
  </si>
  <si>
    <t>Product_Name</t>
  </si>
  <si>
    <t>Price</t>
  </si>
  <si>
    <t>Quantity_Sold</t>
  </si>
  <si>
    <t>Total_Sales</t>
  </si>
  <si>
    <t>Customer_Age</t>
  </si>
  <si>
    <t>Customer_Gender</t>
  </si>
  <si>
    <t>Customer_Location</t>
  </si>
  <si>
    <t>Marketing_Channel</t>
  </si>
  <si>
    <t>Payment_Method</t>
  </si>
  <si>
    <t>Discount_Applied</t>
  </si>
  <si>
    <t>Festival_Season</t>
  </si>
  <si>
    <t>Months</t>
  </si>
  <si>
    <t>Age_Group</t>
  </si>
  <si>
    <t>Toys</t>
  </si>
  <si>
    <t>Docter Set</t>
  </si>
  <si>
    <t>Female</t>
  </si>
  <si>
    <t>Delhi</t>
  </si>
  <si>
    <t>Instagram</t>
  </si>
  <si>
    <t>UPI</t>
  </si>
  <si>
    <t>No</t>
  </si>
  <si>
    <t>Young Adult</t>
  </si>
  <si>
    <t>Home Decor</t>
  </si>
  <si>
    <t>Curtains</t>
  </si>
  <si>
    <t>Hyderabad</t>
  </si>
  <si>
    <t>Facebook Ads</t>
  </si>
  <si>
    <t>PayPal</t>
  </si>
  <si>
    <t>Yes</t>
  </si>
  <si>
    <t>Electronics</t>
  </si>
  <si>
    <t>Headphones</t>
  </si>
  <si>
    <t>Male</t>
  </si>
  <si>
    <t>Google Ads</t>
  </si>
  <si>
    <t>Cash on Delivery</t>
  </si>
  <si>
    <t>Groceries</t>
  </si>
  <si>
    <t>Bread</t>
  </si>
  <si>
    <t>Referral</t>
  </si>
  <si>
    <t>Credit Card</t>
  </si>
  <si>
    <t>Sports Equipment</t>
  </si>
  <si>
    <t>Football</t>
  </si>
  <si>
    <t>Pune</t>
  </si>
  <si>
    <t>Organic Search</t>
  </si>
  <si>
    <t>Lucknow</t>
  </si>
  <si>
    <t>Smartwatch</t>
  </si>
  <si>
    <t>Email Campaign</t>
  </si>
  <si>
    <t>Skipping Rope</t>
  </si>
  <si>
    <t>Debit Card</t>
  </si>
  <si>
    <t>Chennai</t>
  </si>
  <si>
    <t>Clothing</t>
  </si>
  <si>
    <t>Winter Jacket</t>
  </si>
  <si>
    <t>Jaipur</t>
  </si>
  <si>
    <t>Footwear</t>
  </si>
  <si>
    <t>Running Shoes</t>
  </si>
  <si>
    <t>Table Lamp</t>
  </si>
  <si>
    <t>Kolkata</t>
  </si>
  <si>
    <t>Lego Set</t>
  </si>
  <si>
    <t>Jeans</t>
  </si>
  <si>
    <t>Mumbai</t>
  </si>
  <si>
    <t>Dollhouse</t>
  </si>
  <si>
    <t>Bangalore</t>
  </si>
  <si>
    <t>Tennis Racket</t>
  </si>
  <si>
    <t>Remote Car</t>
  </si>
  <si>
    <t>Ahmedabad</t>
  </si>
  <si>
    <t>Sweater</t>
  </si>
  <si>
    <t>Boots</t>
  </si>
  <si>
    <t>Dress</t>
  </si>
  <si>
    <t>Formal Shoes</t>
  </si>
  <si>
    <t>Yoga Mat</t>
  </si>
  <si>
    <t>Smartphone</t>
  </si>
  <si>
    <t>Milk</t>
  </si>
  <si>
    <t>Board Game</t>
  </si>
  <si>
    <t>Organic Vegetables</t>
  </si>
  <si>
    <t>Sandals</t>
  </si>
  <si>
    <t>Coffee</t>
  </si>
  <si>
    <t>Cereal Pack</t>
  </si>
  <si>
    <t>Cushions</t>
  </si>
  <si>
    <t>Tablet</t>
  </si>
  <si>
    <t>Basketball</t>
  </si>
  <si>
    <t>Laptop</t>
  </si>
  <si>
    <t>Carpet</t>
  </si>
  <si>
    <t>T-shirt</t>
  </si>
  <si>
    <t>Sneakers</t>
  </si>
  <si>
    <t>Puzzle</t>
  </si>
  <si>
    <t>Wall Art</t>
  </si>
  <si>
    <t>Sum of Total_Sales</t>
  </si>
  <si>
    <t>Grand Total</t>
  </si>
  <si>
    <t>product wise sales</t>
  </si>
  <si>
    <t>quantity wise sales</t>
  </si>
  <si>
    <t>Sum of Quantity_Sold</t>
  </si>
  <si>
    <t>city wise sales</t>
  </si>
  <si>
    <t>gender and Age Group wise sales</t>
  </si>
  <si>
    <t>Adult</t>
  </si>
  <si>
    <t>Middle-Aged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</si>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</sst>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33" borderId="0" xfId="0" applyFill="1"/>
    <xf numFmtId="9" fontId="0" fillId="33" borderId="0" xfId="0" applyNumberFormat="1" applyFill="1"/>
    <xf numFmtId="1" fontId="0" fillId="33" borderId="0" xfId="0" applyNumberForma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Product_Category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Dasbboard!$B$43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Dasbboard!$A$44:$A$51</c:f>
              <c:strCache>
                <c:ptCount val="7"/>
                <c:pt idx="0">
                  <c:v>Toys</c:v>
                </c:pt>
                <c:pt idx="1">
                  <c:v>Electronics</c:v>
                </c:pt>
                <c:pt idx="2">
                  <c:v>Footwear</c:v>
                </c:pt>
                <c:pt idx="3">
                  <c:v>Sports Equipment</c:v>
                </c:pt>
                <c:pt idx="4">
                  <c:v>Groceries</c:v>
                </c:pt>
                <c:pt idx="5">
                  <c:v>Home Decor</c:v>
                </c:pt>
                <c:pt idx="6">
                  <c:v>Clothing</c:v>
                </c:pt>
              </c:strCache>
            </c:strRef>
          </c:cat>
          <c:val>
            <c:numRef>
              <c:f>Dasbboard!$B$44:$B$51</c:f>
              <c:numCache>
                <c:formatCode>0</c:formatCode>
                <c:ptCount val="7"/>
                <c:pt idx="0">
                  <c:v>382150</c:v>
                </c:pt>
                <c:pt idx="1">
                  <c:v>343003</c:v>
                </c:pt>
                <c:pt idx="2">
                  <c:v>299664</c:v>
                </c:pt>
                <c:pt idx="3">
                  <c:v>292894</c:v>
                </c:pt>
                <c:pt idx="4">
                  <c:v>289403</c:v>
                </c:pt>
                <c:pt idx="5">
                  <c:v>285591</c:v>
                </c:pt>
                <c:pt idx="6">
                  <c:v>267102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9-4BB3-9EF0-FA91347A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543368"/>
        <c:axId val="1350549512"/>
      </c:barChart>
      <c:catAx>
        <c:axId val="13505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49512"/>
        <c:crosses val="autoZero"/>
        <c:auto val="1"/>
        <c:lblAlgn val="ctr"/>
        <c:lblOffset val="100"/>
        <c:noMultiLvlLbl val="0"/>
      </c:catAx>
      <c:valAx>
        <c:axId val="1350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groups &amp; Genders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Dasbboard!$C$63:$C$64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Dasbboard!$B$65:$B$68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Young Adult</c:v>
                </c:pt>
              </c:strCache>
            </c:strRef>
          </c:cat>
          <c:val>
            <c:numRef>
              <c:f>Dasbboard!$C$65:$C$68</c:f>
              <c:numCache>
                <c:formatCode>0</c:formatCode>
                <c:ptCount val="3"/>
                <c:pt idx="0">
                  <c:v>50266</c:v>
                </c:pt>
                <c:pt idx="1">
                  <c:v>20477</c:v>
                </c:pt>
                <c:pt idx="2">
                  <c:v>10186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A-47B4-A858-E7EA8CD62896}"/>
            </c:ext>
          </c:extLst>
        </c:ser>
        <c:ser>
          <c:idx val="1"/>
          <c:order val="1"/>
          <c:tx>
            <c:strRef>
              <c:f>Dasbboard!$D$63:$D$64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Dasbboard!$B$65:$B$68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Young Adult</c:v>
                </c:pt>
              </c:strCache>
            </c:strRef>
          </c:cat>
          <c:val>
            <c:numRef>
              <c:f>Dasbboard!$D$65:$D$68</c:f>
              <c:numCache>
                <c:formatCode>0</c:formatCode>
                <c:ptCount val="3"/>
                <c:pt idx="0">
                  <c:v>44020</c:v>
                </c:pt>
                <c:pt idx="1">
                  <c:v>23571</c:v>
                </c:pt>
                <c:pt idx="2">
                  <c:v>21060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DA-47B4-A858-E7EA8CD62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599751"/>
        <c:axId val="1917629447"/>
      </c:barChart>
      <c:catAx>
        <c:axId val="191759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29447"/>
        <c:crosses val="autoZero"/>
        <c:auto val="1"/>
        <c:lblAlgn val="ctr"/>
        <c:lblOffset val="100"/>
        <c:noMultiLvlLbl val="0"/>
      </c:catAx>
      <c:valAx>
        <c:axId val="191762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59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9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Dasbboard!$E$44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Dasbboard!$D$45:$D$55</c:f>
              <c:strCache>
                <c:ptCount val="10"/>
                <c:pt idx="0">
                  <c:v>Cereal Pack</c:v>
                </c:pt>
                <c:pt idx="1">
                  <c:v>Coffee</c:v>
                </c:pt>
                <c:pt idx="2">
                  <c:v>Curtains</c:v>
                </c:pt>
                <c:pt idx="3">
                  <c:v>Dress</c:v>
                </c:pt>
                <c:pt idx="4">
                  <c:v>Remote Car</c:v>
                </c:pt>
                <c:pt idx="5">
                  <c:v>Smartphone</c:v>
                </c:pt>
                <c:pt idx="6">
                  <c:v>Sneakers</c:v>
                </c:pt>
                <c:pt idx="7">
                  <c:v>Sweater</c:v>
                </c:pt>
                <c:pt idx="8">
                  <c:v>Table Lamp</c:v>
                </c:pt>
                <c:pt idx="9">
                  <c:v>Tablet</c:v>
                </c:pt>
              </c:strCache>
            </c:strRef>
          </c:cat>
          <c:val>
            <c:numRef>
              <c:f>Dasbboard!$E$45:$E$55</c:f>
              <c:numCache>
                <c:formatCode>0</c:formatCode>
                <c:ptCount val="10"/>
                <c:pt idx="0">
                  <c:v>9</c:v>
                </c:pt>
                <c:pt idx="1">
                  <c:v>14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13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FF-458E-ADE0-F6B98AF50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512"/>
        <c:axId val="95246344"/>
      </c:lineChart>
      <c:catAx>
        <c:axId val="1262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6344"/>
        <c:crosses val="autoZero"/>
        <c:auto val="1"/>
        <c:lblAlgn val="ctr"/>
        <c:lblOffset val="100"/>
        <c:noMultiLvlLbl val="0"/>
      </c:catAx>
      <c:valAx>
        <c:axId val="9524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Dasbboard!$H$45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Dasbboard!$G$46:$G$56</c:f>
              <c:strCache>
                <c:ptCount val="10"/>
                <c:pt idx="0">
                  <c:v>Hyderabad</c:v>
                </c:pt>
                <c:pt idx="1">
                  <c:v>Lucknow</c:v>
                </c:pt>
                <c:pt idx="2">
                  <c:v>Ahmedabad</c:v>
                </c:pt>
                <c:pt idx="3">
                  <c:v>Jaipur</c:v>
                </c:pt>
                <c:pt idx="4">
                  <c:v>Chennai</c:v>
                </c:pt>
                <c:pt idx="5">
                  <c:v>Mumbai</c:v>
                </c:pt>
                <c:pt idx="6">
                  <c:v>Pune</c:v>
                </c:pt>
                <c:pt idx="7">
                  <c:v>Delhi</c:v>
                </c:pt>
                <c:pt idx="8">
                  <c:v>Bangalore</c:v>
                </c:pt>
                <c:pt idx="9">
                  <c:v>Kolkata</c:v>
                </c:pt>
              </c:strCache>
            </c:strRef>
          </c:cat>
          <c:val>
            <c:numRef>
              <c:f>Dasbboard!$H$46:$H$56</c:f>
              <c:numCache>
                <c:formatCode>0</c:formatCode>
                <c:ptCount val="10"/>
                <c:pt idx="0">
                  <c:v>3693</c:v>
                </c:pt>
                <c:pt idx="1">
                  <c:v>8915</c:v>
                </c:pt>
                <c:pt idx="2">
                  <c:v>10048</c:v>
                </c:pt>
                <c:pt idx="3">
                  <c:v>11721</c:v>
                </c:pt>
                <c:pt idx="4">
                  <c:v>15291</c:v>
                </c:pt>
                <c:pt idx="5">
                  <c:v>19924</c:v>
                </c:pt>
                <c:pt idx="6">
                  <c:v>20951</c:v>
                </c:pt>
                <c:pt idx="7">
                  <c:v>21252</c:v>
                </c:pt>
                <c:pt idx="8">
                  <c:v>27744</c:v>
                </c:pt>
                <c:pt idx="9">
                  <c:v>30041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3-4902-91AA-AB84D53A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237128"/>
        <c:axId val="95272968"/>
      </c:barChart>
      <c:catAx>
        <c:axId val="9523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2968"/>
        <c:crosses val="autoZero"/>
        <c:auto val="1"/>
        <c:lblAlgn val="ctr"/>
        <c:lblOffset val="100"/>
        <c:noMultiLvlLbl val="0"/>
      </c:catAx>
      <c:valAx>
        <c:axId val="9527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3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Dasbboard!$K$46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FB-4EA0-BAD9-F4C83A8FA2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FB-4EA0-BAD9-F4C83A8FA2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FB-4EA0-BAD9-F4C83A8FA2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FB-4EA0-BAD9-F4C83A8FA2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FB-4EA0-BAD9-F4C83A8FA2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Dasbboard!$J$47:$J$52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  <c:pt idx="4">
                  <c:v>UPI</c:v>
                </c:pt>
              </c:strCache>
            </c:strRef>
          </c:cat>
          <c:val>
            <c:numRef>
              <c:f>Dasbboard!$K$47:$K$52</c:f>
              <c:numCache>
                <c:formatCode>0</c:formatCode>
                <c:ptCount val="5"/>
                <c:pt idx="0">
                  <c:v>21555</c:v>
                </c:pt>
                <c:pt idx="1">
                  <c:v>28630</c:v>
                </c:pt>
                <c:pt idx="2">
                  <c:v>45929</c:v>
                </c:pt>
                <c:pt idx="3">
                  <c:v>38988</c:v>
                </c:pt>
                <c:pt idx="4">
                  <c:v>34478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1-49BB-B0C7-5149AA5BFC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Dasbboard!$B$29:$B$30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Dasbboard!$A$31:$A$38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Footwear</c:v>
                </c:pt>
                <c:pt idx="3">
                  <c:v>Groceries</c:v>
                </c:pt>
                <c:pt idx="4">
                  <c:v>Home Decor</c:v>
                </c:pt>
                <c:pt idx="5">
                  <c:v>Sports Equipment</c:v>
                </c:pt>
                <c:pt idx="6">
                  <c:v>Toys</c:v>
                </c:pt>
              </c:strCache>
            </c:strRef>
          </c:cat>
          <c:val>
            <c:numRef>
              <c:f>Dasbboard!$B$31:$B$38</c:f>
              <c:numCache>
                <c:formatCode>0</c:formatCode>
                <c:ptCount val="7"/>
                <c:pt idx="0">
                  <c:v>3294</c:v>
                </c:pt>
                <c:pt idx="1">
                  <c:v>1134</c:v>
                </c:pt>
                <c:pt idx="2">
                  <c:v>1462</c:v>
                </c:pt>
                <c:pt idx="3">
                  <c:v>916</c:v>
                </c:pt>
                <c:pt idx="5">
                  <c:v>2478</c:v>
                </c:pt>
                <c:pt idx="6">
                  <c:v>12541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2B-42EB-9F93-D75C49F3C569}"/>
            </c:ext>
          </c:extLst>
        </c:ser>
        <c:ser>
          <c:idx val="1"/>
          <c:order val="1"/>
          <c:tx>
            <c:strRef>
              <c:f>Dasbboard!$C$29:$C$30</c:f>
              <c:strCache>
                <c:ptCount val="1"/>
                <c:pt idx="0">
                  <c:v>10%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Dasbboard!$A$31:$A$38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Footwear</c:v>
                </c:pt>
                <c:pt idx="3">
                  <c:v>Groceries</c:v>
                </c:pt>
                <c:pt idx="4">
                  <c:v>Home Decor</c:v>
                </c:pt>
                <c:pt idx="5">
                  <c:v>Sports Equipment</c:v>
                </c:pt>
                <c:pt idx="6">
                  <c:v>Toys</c:v>
                </c:pt>
              </c:strCache>
            </c:strRef>
          </c:cat>
          <c:val>
            <c:numRef>
              <c:f>Dasbboard!$C$31:$C$38</c:f>
              <c:numCache>
                <c:formatCode>0</c:formatCode>
                <c:ptCount val="7"/>
                <c:pt idx="0">
                  <c:v>8676</c:v>
                </c:pt>
                <c:pt idx="1">
                  <c:v>13569</c:v>
                </c:pt>
                <c:pt idx="3">
                  <c:v>1222</c:v>
                </c:pt>
                <c:pt idx="4">
                  <c:v>19499</c:v>
                </c:pt>
                <c:pt idx="5">
                  <c:v>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2B-42EB-9F93-D75C49F3C569}"/>
            </c:ext>
          </c:extLst>
        </c:ser>
        <c:ser>
          <c:idx val="2"/>
          <c:order val="2"/>
          <c:tx>
            <c:strRef>
              <c:f>Dasbboard!$D$29:$D$30</c:f>
              <c:strCache>
                <c:ptCount val="1"/>
                <c:pt idx="0">
                  <c:v>15%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Dasbboard!$A$31:$A$38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Footwear</c:v>
                </c:pt>
                <c:pt idx="3">
                  <c:v>Groceries</c:v>
                </c:pt>
                <c:pt idx="4">
                  <c:v>Home Decor</c:v>
                </c:pt>
                <c:pt idx="5">
                  <c:v>Sports Equipment</c:v>
                </c:pt>
                <c:pt idx="6">
                  <c:v>Toys</c:v>
                </c:pt>
              </c:strCache>
            </c:strRef>
          </c:cat>
          <c:val>
            <c:numRef>
              <c:f>Dasbboard!$D$31:$D$38</c:f>
              <c:numCache>
                <c:formatCode>0</c:formatCode>
                <c:ptCount val="7"/>
                <c:pt idx="0">
                  <c:v>3852</c:v>
                </c:pt>
                <c:pt idx="1">
                  <c:v>4743</c:v>
                </c:pt>
                <c:pt idx="2">
                  <c:v>6310</c:v>
                </c:pt>
                <c:pt idx="3">
                  <c:v>3128</c:v>
                </c:pt>
                <c:pt idx="4">
                  <c:v>739</c:v>
                </c:pt>
                <c:pt idx="6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2B-42EB-9F93-D75C49F3C569}"/>
            </c:ext>
          </c:extLst>
        </c:ser>
        <c:ser>
          <c:idx val="3"/>
          <c:order val="3"/>
          <c:tx>
            <c:strRef>
              <c:f>Dasbboard!$E$29:$E$30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Dasbboard!$A$31:$A$38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Footwear</c:v>
                </c:pt>
                <c:pt idx="3">
                  <c:v>Groceries</c:v>
                </c:pt>
                <c:pt idx="4">
                  <c:v>Home Decor</c:v>
                </c:pt>
                <c:pt idx="5">
                  <c:v>Sports Equipment</c:v>
                </c:pt>
                <c:pt idx="6">
                  <c:v>Toys</c:v>
                </c:pt>
              </c:strCache>
            </c:strRef>
          </c:cat>
          <c:val>
            <c:numRef>
              <c:f>Dasbboard!$E$31:$E$38</c:f>
              <c:numCache>
                <c:formatCode>0</c:formatCode>
                <c:ptCount val="7"/>
                <c:pt idx="0">
                  <c:v>1206</c:v>
                </c:pt>
                <c:pt idx="1">
                  <c:v>5874</c:v>
                </c:pt>
                <c:pt idx="3">
                  <c:v>4832</c:v>
                </c:pt>
                <c:pt idx="4">
                  <c:v>2818</c:v>
                </c:pt>
                <c:pt idx="5">
                  <c:v>5842</c:v>
                </c:pt>
                <c:pt idx="6">
                  <c:v>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2B-42EB-9F93-D75C49F3C569}"/>
            </c:ext>
          </c:extLst>
        </c:ser>
        <c:ser>
          <c:idx val="4"/>
          <c:order val="4"/>
          <c:tx>
            <c:strRef>
              <c:f>Dasbboard!$F$29:$F$30</c:f>
              <c:strCache>
                <c:ptCount val="1"/>
                <c:pt idx="0">
                  <c:v>25%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Dasbboard!$A$31:$A$38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Footwear</c:v>
                </c:pt>
                <c:pt idx="3">
                  <c:v>Groceries</c:v>
                </c:pt>
                <c:pt idx="4">
                  <c:v>Home Decor</c:v>
                </c:pt>
                <c:pt idx="5">
                  <c:v>Sports Equipment</c:v>
                </c:pt>
                <c:pt idx="6">
                  <c:v>Toys</c:v>
                </c:pt>
              </c:strCache>
            </c:strRef>
          </c:cat>
          <c:val>
            <c:numRef>
              <c:f>Dasbboard!$F$31:$F$38</c:f>
              <c:numCache>
                <c:formatCode>0</c:formatCode>
                <c:ptCount val="7"/>
                <c:pt idx="0">
                  <c:v>4632</c:v>
                </c:pt>
                <c:pt idx="3">
                  <c:v>9112</c:v>
                </c:pt>
                <c:pt idx="5">
                  <c:v>4686</c:v>
                </c:pt>
                <c:pt idx="6">
                  <c:v>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2B-42EB-9F93-D75C49F3C569}"/>
            </c:ext>
          </c:extLst>
        </c:ser>
        <c:ser>
          <c:idx val="5"/>
          <c:order val="5"/>
          <c:tx>
            <c:strRef>
              <c:f>Dasbboard!$G$29:$G$30</c:f>
              <c:strCache>
                <c:ptCount val="1"/>
                <c:pt idx="0">
                  <c:v>30%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Dasbboard!$A$31:$A$38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Footwear</c:v>
                </c:pt>
                <c:pt idx="3">
                  <c:v>Groceries</c:v>
                </c:pt>
                <c:pt idx="4">
                  <c:v>Home Decor</c:v>
                </c:pt>
                <c:pt idx="5">
                  <c:v>Sports Equipment</c:v>
                </c:pt>
                <c:pt idx="6">
                  <c:v>Toys</c:v>
                </c:pt>
              </c:strCache>
            </c:strRef>
          </c:cat>
          <c:val>
            <c:numRef>
              <c:f>Dasbboard!$G$31:$G$38</c:f>
              <c:numCache>
                <c:formatCode>0</c:formatCode>
                <c:ptCount val="7"/>
                <c:pt idx="0">
                  <c:v>150</c:v>
                </c:pt>
                <c:pt idx="1">
                  <c:v>1114</c:v>
                </c:pt>
                <c:pt idx="2">
                  <c:v>19330</c:v>
                </c:pt>
                <c:pt idx="3">
                  <c:v>7014</c:v>
                </c:pt>
                <c:pt idx="4">
                  <c:v>905</c:v>
                </c:pt>
                <c:pt idx="5">
                  <c:v>2260</c:v>
                </c:pt>
                <c:pt idx="6">
                  <c:v>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B2B-42EB-9F93-D75C49F3C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2168"/>
        <c:axId val="19614728"/>
      </c:barChart>
      <c:catAx>
        <c:axId val="1961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728"/>
        <c:crosses val="autoZero"/>
        <c:auto val="1"/>
        <c:lblAlgn val="ctr"/>
        <c:lblOffset val="100"/>
        <c:noMultiLvlLbl val="0"/>
      </c:catAx>
      <c:valAx>
        <c:axId val="1961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analysis.xlsx]Dasbboard!PivotTable8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Book By Marketing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Dasbboard!$B$78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Dasbboard!$A$79:$A$85</c:f>
              <c:strCache>
                <c:ptCount val="6"/>
                <c:pt idx="0">
                  <c:v>Email Campaign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</c:v>
                </c:pt>
                <c:pt idx="4">
                  <c:v>Organic Search</c:v>
                </c:pt>
                <c:pt idx="5">
                  <c:v>Referral</c:v>
                </c:pt>
              </c:strCache>
            </c:strRef>
          </c:cat>
          <c:val>
            <c:numRef>
              <c:f>Dasbboard!$B$79:$B$85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B-4FA1-A5F1-6B7B114CF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828615"/>
        <c:axId val="757832199"/>
      </c:barChart>
      <c:catAx>
        <c:axId val="757828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32199"/>
        <c:crosses val="autoZero"/>
        <c:auto val="1"/>
        <c:lblAlgn val="ctr"/>
        <c:lblOffset val="100"/>
        <c:noMultiLvlLbl val="0"/>
      </c:catAx>
      <c:valAx>
        <c:axId val="75783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28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38100</xdr:rowOff>
    </xdr:from>
    <xdr:to>
      <xdr:col>7</xdr:col>
      <xdr:colOff>342900</xdr:colOff>
      <xdr:row>10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EDD47-71BE-66F3-2E4B-CA2DC5B71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10</xdr:row>
      <xdr:rowOff>76200</xdr:rowOff>
    </xdr:from>
    <xdr:to>
      <xdr:col>4</xdr:col>
      <xdr:colOff>438150</xdr:colOff>
      <xdr:row>22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AB3988-FA74-BAB3-917C-B4AB23886744}"/>
            </a:ext>
            <a:ext uri="{147F2762-F138-4A5C-976F-8EAC2B608ADB}">
              <a16:predDERef xmlns:a16="http://schemas.microsoft.com/office/drawing/2014/main" pred="{968EDD47-71BE-66F3-2E4B-CA2DC5B71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0</xdr:row>
      <xdr:rowOff>38101</xdr:rowOff>
    </xdr:from>
    <xdr:to>
      <xdr:col>10</xdr:col>
      <xdr:colOff>933449</xdr:colOff>
      <xdr:row>10</xdr:row>
      <xdr:rowOff>19051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804338-3F2F-299C-2320-446A96A74845}"/>
            </a:ext>
            <a:ext uri="{147F2762-F138-4A5C-976F-8EAC2B608ADB}">
              <a16:predDERef xmlns:a16="http://schemas.microsoft.com/office/drawing/2014/main" pred="{03AB3988-FA74-BAB3-917C-B4AB23886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962025</xdr:colOff>
      <xdr:row>0</xdr:row>
      <xdr:rowOff>19049</xdr:rowOff>
    </xdr:from>
    <xdr:to>
      <xdr:col>2</xdr:col>
      <xdr:colOff>400050</xdr:colOff>
      <xdr:row>22</xdr:row>
      <xdr:rowOff>85724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5DE51A4-EE0C-F15C-90BF-3A5889C5D5C6}"/>
            </a:ext>
            <a:ext uri="{147F2762-F138-4A5C-976F-8EAC2B608ADB}">
              <a16:predDERef xmlns:a16="http://schemas.microsoft.com/office/drawing/2014/main" pred="{DE804338-3F2F-299C-2320-446A96A74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485774</xdr:colOff>
      <xdr:row>10</xdr:row>
      <xdr:rowOff>76201</xdr:rowOff>
    </xdr:from>
    <xdr:to>
      <xdr:col>6</xdr:col>
      <xdr:colOff>819149</xdr:colOff>
      <xdr:row>22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168FE6-95BA-25FE-AFAC-94ECE6EEF7A3}"/>
            </a:ext>
            <a:ext uri="{147F2762-F138-4A5C-976F-8EAC2B608ADB}">
              <a16:predDERef xmlns:a16="http://schemas.microsoft.com/office/drawing/2014/main" pred="{B5DE51A4-EE0C-F15C-90BF-3A5889C5D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857250</xdr:colOff>
      <xdr:row>10</xdr:row>
      <xdr:rowOff>66674</xdr:rowOff>
    </xdr:from>
    <xdr:to>
      <xdr:col>10</xdr:col>
      <xdr:colOff>914400</xdr:colOff>
      <xdr:row>22</xdr:row>
      <xdr:rowOff>57149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D711FD-1A01-835B-4D15-E20CE773CE9C}"/>
            </a:ext>
            <a:ext uri="{147F2762-F138-4A5C-976F-8EAC2B608ADB}">
              <a16:predDERef xmlns:a16="http://schemas.microsoft.com/office/drawing/2014/main" pred="{01168FE6-95BA-25FE-AFAC-94ECE6EEF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438151</xdr:colOff>
      <xdr:row>0</xdr:row>
      <xdr:rowOff>28575</xdr:rowOff>
    </xdr:from>
    <xdr:to>
      <xdr:col>5</xdr:col>
      <xdr:colOff>19051</xdr:colOff>
      <xdr:row>10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65D3A8-7AF1-A802-1D65-3BCAEBCD1451}"/>
            </a:ext>
            <a:ext uri="{147F2762-F138-4A5C-976F-8EAC2B608ADB}">
              <a16:predDERef xmlns:a16="http://schemas.microsoft.com/office/drawing/2014/main" pred="{6AD711FD-1A01-835B-4D15-E20CE773C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66675</xdr:colOff>
      <xdr:row>0</xdr:row>
      <xdr:rowOff>66675</xdr:rowOff>
    </xdr:from>
    <xdr:to>
      <xdr:col>0</xdr:col>
      <xdr:colOff>990600</xdr:colOff>
      <xdr:row>5</xdr:row>
      <xdr:rowOff>19050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B3B7EAC-9F95-7DE0-F35D-5E5C52918835}"/>
            </a:ext>
            <a:ext uri="{147F2762-F138-4A5C-976F-8EAC2B608ADB}">
              <a16:predDERef xmlns:a16="http://schemas.microsoft.com/office/drawing/2014/main" pred="{7E65D3A8-7AF1-A802-1D65-3BCAEBCD1451}"/>
            </a:ext>
          </a:extLst>
        </xdr:cNvPr>
        <xdr:cNvSpPr/>
      </xdr:nvSpPr>
      <xdr:spPr>
        <a:xfrm>
          <a:off x="66675" y="66675"/>
          <a:ext cx="923925" cy="904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28575</xdr:colOff>
      <xdr:row>0</xdr:row>
      <xdr:rowOff>28576</xdr:rowOff>
    </xdr:from>
    <xdr:to>
      <xdr:col>0</xdr:col>
      <xdr:colOff>933450</xdr:colOff>
      <xdr:row>2</xdr:row>
      <xdr:rowOff>123826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1EB4384-543D-0C0C-7BB6-5E02B04BE138}"/>
            </a:ext>
            <a:ext uri="{147F2762-F138-4A5C-976F-8EAC2B608ADB}">
              <a16:predDERef xmlns:a16="http://schemas.microsoft.com/office/drawing/2014/main" pred="{DB3B7EAC-9F95-7DE0-F35D-5E5C52918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28576"/>
          <a:ext cx="904875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</xdr:row>
      <xdr:rowOff>161924</xdr:rowOff>
    </xdr:from>
    <xdr:to>
      <xdr:col>0</xdr:col>
      <xdr:colOff>933450</xdr:colOff>
      <xdr:row>22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onths">
              <a:extLst>
                <a:ext uri="{FF2B5EF4-FFF2-40B4-BE49-F238E27FC236}">
                  <a16:creationId xmlns:a16="http://schemas.microsoft.com/office/drawing/2014/main" id="{E7F731B0-36EA-3F78-90D4-235F19CB6B3D}"/>
                </a:ext>
                <a:ext uri="{147F2762-F138-4A5C-976F-8EAC2B608ADB}">
                  <a16:predDERef xmlns:a16="http://schemas.microsoft.com/office/drawing/2014/main" pred="{11EB4384-543D-0C0C-7BB6-5E02B04BE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962025"/>
              <a:ext cx="1143000" cy="416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17.120209837965" createdVersion="8" refreshedVersion="8" minRefreshableVersion="3" recordCount="999" xr:uid="{9EE53A08-9C38-468A-A597-6FDFADCE9370}">
  <cacheSource type="worksheet">
    <worksheetSource ref="A1:O1000" sheet="in"/>
  </cacheSource>
  <cacheFields count="15">
    <cacheField name="Order_ID" numFmtId="0">
      <sharedItems containsSemiMixedTypes="0" containsString="0" containsNumber="1" containsInteger="1" minValue="1001" maxValue="1999"/>
    </cacheField>
    <cacheField name="Date" numFmtId="14">
      <sharedItems containsSemiMixedTypes="0" containsNonDate="0" containsDate="1" containsString="0" minDate="2022-10-19T00:00:00" maxDate="2024-02-06T00:00:00"/>
    </cacheField>
    <cacheField name="Product_Category" numFmtId="0">
      <sharedItems count="7">
        <s v="Toys"/>
        <s v="Home Decor"/>
        <s v="Electronics"/>
        <s v="Groceries"/>
        <s v="Sports Equipment"/>
        <s v="Clothing"/>
        <s v="Footwear"/>
      </sharedItems>
    </cacheField>
    <cacheField name="Product_Name" numFmtId="0">
      <sharedItems/>
    </cacheField>
    <cacheField name="Price" numFmtId="1">
      <sharedItems containsSemiMixedTypes="0" containsString="0" containsNumber="1" containsInteger="1" minValue="20" maxValue="1499"/>
    </cacheField>
    <cacheField name="Quantity_Sold" numFmtId="1">
      <sharedItems containsSemiMixedTypes="0" containsString="0" containsNumber="1" containsInteger="1" minValue="1" maxValue="5"/>
    </cacheField>
    <cacheField name="Total_Sales" numFmtId="1">
      <sharedItems containsSemiMixedTypes="0" containsString="0" containsNumber="1" containsInteger="1" minValue="20" maxValue="7495"/>
    </cacheField>
    <cacheField name="Customer_Age" numFmtId="1">
      <sharedItems containsSemiMixedTypes="0" containsString="0" containsNumber="1" containsInteger="1" minValue="18" maxValue="60"/>
    </cacheField>
    <cacheField name="Customer_Gender" numFmtId="0">
      <sharedItems/>
    </cacheField>
    <cacheField name="Customer_Location" numFmtId="0">
      <sharedItems/>
    </cacheField>
    <cacheField name="Marketing_Channel" numFmtId="0">
      <sharedItems/>
    </cacheField>
    <cacheField name="Payment_Method" numFmtId="0">
      <sharedItems/>
    </cacheField>
    <cacheField name="Discount_Applied" numFmtId="9">
      <sharedItems containsSemiMixedTypes="0" containsString="0" containsNumber="1" minValue="0.05" maxValue="0.3"/>
    </cacheField>
    <cacheField name="Festival_Season" numFmtId="0">
      <sharedItems/>
    </cacheField>
    <cacheField name="Months" numFmtId="0">
      <sharedItems/>
    </cacheField>
  </cacheFields>
  <extLst>
    <ext xmlns:x14="http://schemas.microsoft.com/office/spreadsheetml/2009/9/main" uri="{725AE2AE-9491-48be-B2B4-4EB974FC3084}">
      <x14:pivotCacheDefinition pivotCacheId="151034933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17.120209837965" createdVersion="8" refreshedVersion="8" minRefreshableVersion="3" recordCount="999" xr:uid="{69B6D333-B378-486D-AA48-E6BD086978AE}">
  <cacheSource type="worksheet">
    <worksheetSource ref="A1:P1000" sheet="in"/>
  </cacheSource>
  <cacheFields count="16">
    <cacheField name="Order_ID" numFmtId="0">
      <sharedItems containsSemiMixedTypes="0" containsString="0" containsNumber="1" containsInteger="1" minValue="1001" maxValue="1999"/>
    </cacheField>
    <cacheField name="Date" numFmtId="14">
      <sharedItems containsSemiMixedTypes="0" containsNonDate="0" containsDate="1" containsString="0" minDate="2022-10-19T00:00:00" maxDate="2024-02-06T00:00:00"/>
    </cacheField>
    <cacheField name="Product_Category" numFmtId="0">
      <sharedItems count="7">
        <s v="Toys"/>
        <s v="Home Decor"/>
        <s v="Electronics"/>
        <s v="Groceries"/>
        <s v="Sports Equipment"/>
        <s v="Clothing"/>
        <s v="Footwear"/>
      </sharedItems>
    </cacheField>
    <cacheField name="Product_Name" numFmtId="0">
      <sharedItems count="36">
        <s v="Docter Set"/>
        <s v="Curtains"/>
        <s v="Headphones"/>
        <s v="Bread"/>
        <s v="Football"/>
        <s v="Smartwatch"/>
        <s v="Skipping Rope"/>
        <s v="Winter Jacket"/>
        <s v="Running Shoes"/>
        <s v="Table Lamp"/>
        <s v="Lego Set"/>
        <s v="Jeans"/>
        <s v="Dollhouse"/>
        <s v="Tennis Racket"/>
        <s v="Remote Car"/>
        <s v="Sweater"/>
        <s v="Boots"/>
        <s v="Dress"/>
        <s v="Formal Shoes"/>
        <s v="Yoga Mat"/>
        <s v="Smartphone"/>
        <s v="Milk"/>
        <s v="Board Game"/>
        <s v="Organic Vegetables"/>
        <s v="Sandals"/>
        <s v="Coffee"/>
        <s v="Cereal Pack"/>
        <s v="Cushions"/>
        <s v="Tablet"/>
        <s v="Basketball"/>
        <s v="Laptop"/>
        <s v="Carpet"/>
        <s v="T-shirt"/>
        <s v="Sneakers"/>
        <s v="Puzzle"/>
        <s v="Wall Art"/>
      </sharedItems>
    </cacheField>
    <cacheField name="Price" numFmtId="1">
      <sharedItems containsSemiMixedTypes="0" containsString="0" containsNumber="1" containsInteger="1" minValue="20" maxValue="1499"/>
    </cacheField>
    <cacheField name="Quantity_Sold" numFmtId="1">
      <sharedItems containsSemiMixedTypes="0" containsString="0" containsNumber="1" containsInteger="1" minValue="1" maxValue="5"/>
    </cacheField>
    <cacheField name="Total_Sales" numFmtId="1">
      <sharedItems containsSemiMixedTypes="0" containsString="0" containsNumber="1" containsInteger="1" minValue="20" maxValue="7495"/>
    </cacheField>
    <cacheField name="Customer_Age" numFmtId="1">
      <sharedItems containsSemiMixedTypes="0" containsString="0" containsNumber="1" containsInteger="1" minValue="18" maxValue="60"/>
    </cacheField>
    <cacheField name="Customer_Gender" numFmtId="0">
      <sharedItems count="2">
        <s v="Female"/>
        <s v="Male"/>
      </sharedItems>
    </cacheField>
    <cacheField name="Customer_Location" numFmtId="0">
      <sharedItems count="10">
        <s v="Delhi"/>
        <s v="Hyderabad"/>
        <s v="Pune"/>
        <s v="Lucknow"/>
        <s v="Chennai"/>
        <s v="Jaipur"/>
        <s v="Kolkata"/>
        <s v="Mumbai"/>
        <s v="Bangalore"/>
        <s v="Ahmedabad"/>
      </sharedItems>
    </cacheField>
    <cacheField name="Marketing_Channel" numFmtId="0">
      <sharedItems count="6">
        <s v="Instagram"/>
        <s v="Facebook Ads"/>
        <s v="Google Ads"/>
        <s v="Referral"/>
        <s v="Organic Search"/>
        <s v="Email Campaign"/>
      </sharedItems>
    </cacheField>
    <cacheField name="Payment_Method" numFmtId="0">
      <sharedItems count="5">
        <s v="UPI"/>
        <s v="PayPal"/>
        <s v="Cash on Delivery"/>
        <s v="Credit Card"/>
        <s v="Debit Card"/>
      </sharedItems>
    </cacheField>
    <cacheField name="Discount_Applied" numFmtId="9">
      <sharedItems containsSemiMixedTypes="0" containsString="0" containsNumber="1" minValue="0.05" maxValue="0.3" count="6">
        <n v="0.1"/>
        <n v="0.25"/>
        <n v="0.2"/>
        <n v="0.05"/>
        <n v="0.15"/>
        <n v="0.3"/>
      </sharedItems>
    </cacheField>
    <cacheField name="Festival_Season" numFmtId="0">
      <sharedItems count="2">
        <s v="No"/>
        <s v="Yes"/>
      </sharedItems>
    </cacheField>
    <cacheField name="Months" numFmtId="0">
      <sharedItems count="12">
        <s v="October"/>
        <s v="September"/>
        <s v="January"/>
        <s v="March"/>
        <s v="July"/>
        <s v="June"/>
        <s v="February"/>
        <s v="August"/>
        <s v="April"/>
        <s v="May"/>
        <s v="November"/>
        <s v="December"/>
      </sharedItems>
    </cacheField>
    <cacheField name="Age_Group" numFmtId="0">
      <sharedItems count="3">
        <s v="Young Adult"/>
        <s v="Adult"/>
        <s v="Middle-Aged"/>
      </sharedItems>
    </cacheField>
  </cacheFields>
  <extLst>
    <ext xmlns:x14="http://schemas.microsoft.com/office/spreadsheetml/2009/9/main" uri="{725AE2AE-9491-48be-B2B4-4EB974FC3084}">
      <x14:pivotCacheDefinition pivotCacheId="12541713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001"/>
    <d v="2022-10-19T00:00:00"/>
    <x v="0"/>
    <s v="Docter Set"/>
    <n v="300"/>
    <n v="1"/>
    <n v="2000"/>
    <n v="25"/>
    <s v="Female"/>
    <s v="Delhi"/>
    <s v="Instagram"/>
    <s v="UPI"/>
    <n v="0.1"/>
    <s v="No"/>
    <s v="October"/>
  </r>
  <r>
    <n v="1002"/>
    <d v="2023-09-18T00:00:00"/>
    <x v="1"/>
    <s v="Curtains"/>
    <n v="940"/>
    <n v="4"/>
    <n v="3760"/>
    <n v="20"/>
    <s v="Female"/>
    <s v="Hyderabad"/>
    <s v="Facebook Ads"/>
    <s v="PayPal"/>
    <n v="0.25"/>
    <s v="Yes"/>
    <s v="September"/>
  </r>
  <r>
    <n v="1003"/>
    <d v="2024-01-22T00:00:00"/>
    <x v="2"/>
    <s v="Headphones"/>
    <n v="1327"/>
    <n v="5"/>
    <n v="6635"/>
    <n v="44"/>
    <s v="Male"/>
    <s v="Hyderabad"/>
    <s v="Google Ads"/>
    <s v="Cash on Delivery"/>
    <n v="0.2"/>
    <s v="Yes"/>
    <s v="January"/>
  </r>
  <r>
    <n v="1004"/>
    <d v="2024-01-05T00:00:00"/>
    <x v="3"/>
    <s v="Bread"/>
    <n v="834"/>
    <n v="3"/>
    <n v="2502"/>
    <n v="51"/>
    <s v="Female"/>
    <s v="Hyderabad"/>
    <s v="Referral"/>
    <s v="Credit Card"/>
    <n v="0.05"/>
    <s v="Yes"/>
    <s v="January"/>
  </r>
  <r>
    <n v="1005"/>
    <d v="2023-10-08T00:00:00"/>
    <x v="4"/>
    <s v="Football"/>
    <n v="962"/>
    <n v="1"/>
    <n v="962"/>
    <n v="36"/>
    <s v="Male"/>
    <s v="Pune"/>
    <s v="Organic Search"/>
    <s v="UPI"/>
    <n v="0.2"/>
    <s v="Yes"/>
    <s v="October"/>
  </r>
  <r>
    <n v="1006"/>
    <d v="2023-03-25T00:00:00"/>
    <x v="3"/>
    <s v="Bread"/>
    <n v="499"/>
    <n v="5"/>
    <n v="2495"/>
    <n v="44"/>
    <s v="Male"/>
    <s v="Lucknow"/>
    <s v="Facebook Ads"/>
    <s v="Cash on Delivery"/>
    <n v="0.05"/>
    <s v="Yes"/>
    <s v="March"/>
  </r>
  <r>
    <n v="1007"/>
    <d v="2023-07-22T00:00:00"/>
    <x v="2"/>
    <s v="Smartwatch"/>
    <n v="1070"/>
    <n v="2"/>
    <n v="2140"/>
    <n v="53"/>
    <s v="Female"/>
    <s v="Lucknow"/>
    <s v="Email Campaign"/>
    <s v="Cash on Delivery"/>
    <n v="0.15"/>
    <s v="Yes"/>
    <s v="July"/>
  </r>
  <r>
    <n v="1008"/>
    <d v="2023-10-13T00:00:00"/>
    <x v="4"/>
    <s v="Skipping Rope"/>
    <n v="34"/>
    <n v="4"/>
    <n v="136"/>
    <n v="36"/>
    <s v="Male"/>
    <s v="Delhi"/>
    <s v="Facebook Ads"/>
    <s v="Credit Card"/>
    <n v="0.25"/>
    <s v="Yes"/>
    <s v="October"/>
  </r>
  <r>
    <n v="1009"/>
    <d v="2023-03-03T00:00:00"/>
    <x v="1"/>
    <s v="Curtains"/>
    <n v="594"/>
    <n v="5"/>
    <n v="2970"/>
    <n v="50"/>
    <s v="Male"/>
    <s v="Lucknow"/>
    <s v="Google Ads"/>
    <s v="Debit Card"/>
    <n v="0.05"/>
    <s v="Yes"/>
    <s v="March"/>
  </r>
  <r>
    <n v="1010"/>
    <d v="2023-10-11T00:00:00"/>
    <x v="2"/>
    <s v="Smartwatch"/>
    <n v="317"/>
    <n v="2"/>
    <n v="634"/>
    <n v="53"/>
    <s v="Female"/>
    <s v="Chennai"/>
    <s v="Facebook Ads"/>
    <s v="Credit Card"/>
    <n v="0.2"/>
    <s v="No"/>
    <s v="October"/>
  </r>
  <r>
    <n v="1011"/>
    <d v="2023-06-20T00:00:00"/>
    <x v="5"/>
    <s v="Winter Jacket"/>
    <n v="1233"/>
    <n v="1"/>
    <n v="1233"/>
    <n v="50"/>
    <s v="Male"/>
    <s v="Jaipur"/>
    <s v="Referral"/>
    <s v="Cash on Delivery"/>
    <n v="0.2"/>
    <s v="Yes"/>
    <s v="June"/>
  </r>
  <r>
    <n v="1012"/>
    <d v="2023-01-11T00:00:00"/>
    <x v="6"/>
    <s v="Running Shoes"/>
    <n v="254"/>
    <n v="1"/>
    <n v="254"/>
    <n v="39"/>
    <s v="Female"/>
    <s v="Chennai"/>
    <s v="Instagram"/>
    <s v="Debit Card"/>
    <n v="0.3"/>
    <s v="Yes"/>
    <s v="January"/>
  </r>
  <r>
    <n v="1013"/>
    <d v="2023-09-16T00:00:00"/>
    <x v="1"/>
    <s v="Table Lamp"/>
    <n v="1357"/>
    <n v="2"/>
    <n v="2714"/>
    <n v="27"/>
    <s v="Female"/>
    <s v="Kolkata"/>
    <s v="Facebook Ads"/>
    <s v="Debit Card"/>
    <n v="0.1"/>
    <s v="Yes"/>
    <s v="September"/>
  </r>
  <r>
    <n v="1014"/>
    <d v="2023-07-02T00:00:00"/>
    <x v="0"/>
    <s v="Lego Set"/>
    <n v="719"/>
    <n v="3"/>
    <n v="2157"/>
    <n v="38"/>
    <s v="Female"/>
    <s v="Delhi"/>
    <s v="Facebook Ads"/>
    <s v="Cash on Delivery"/>
    <n v="0.1"/>
    <s v="Yes"/>
    <s v="July"/>
  </r>
  <r>
    <n v="1015"/>
    <d v="2023-10-01T00:00:00"/>
    <x v="5"/>
    <s v="Jeans"/>
    <n v="1476"/>
    <n v="3"/>
    <n v="4428"/>
    <n v="41"/>
    <s v="Female"/>
    <s v="Mumbai"/>
    <s v="Referral"/>
    <s v="UPI"/>
    <n v="0.2"/>
    <s v="No"/>
    <s v="October"/>
  </r>
  <r>
    <n v="1016"/>
    <d v="2023-02-24T00:00:00"/>
    <x v="0"/>
    <s v="Dollhouse"/>
    <n v="387"/>
    <n v="2"/>
    <n v="774"/>
    <n v="32"/>
    <s v="Female"/>
    <s v="Chennai"/>
    <s v="Instagram"/>
    <s v="UPI"/>
    <n v="0.05"/>
    <s v="Yes"/>
    <s v="February"/>
  </r>
  <r>
    <n v="1017"/>
    <d v="2023-06-03T00:00:00"/>
    <x v="4"/>
    <s v="Football"/>
    <n v="1456"/>
    <n v="5"/>
    <n v="7280"/>
    <n v="60"/>
    <s v="Male"/>
    <s v="Bangalore"/>
    <s v="Organic Search"/>
    <s v="Cash on Delivery"/>
    <n v="0.1"/>
    <s v="No"/>
    <s v="June"/>
  </r>
  <r>
    <n v="1018"/>
    <d v="2023-08-11T00:00:00"/>
    <x v="6"/>
    <s v="Running Shoes"/>
    <n v="1063"/>
    <n v="5"/>
    <n v="5315"/>
    <n v="55"/>
    <s v="Male"/>
    <s v="Pune"/>
    <s v="Email Campaign"/>
    <s v="PayPal"/>
    <n v="0.3"/>
    <s v="No"/>
    <s v="August"/>
  </r>
  <r>
    <n v="1019"/>
    <d v="2023-03-05T00:00:00"/>
    <x v="4"/>
    <s v="Tennis Racket"/>
    <n v="485"/>
    <n v="3"/>
    <n v="1455"/>
    <n v="55"/>
    <s v="Female"/>
    <s v="Kolkata"/>
    <s v="Referral"/>
    <s v="Credit Card"/>
    <n v="0.1"/>
    <s v="No"/>
    <s v="March"/>
  </r>
  <r>
    <n v="1020"/>
    <d v="2023-02-19T00:00:00"/>
    <x v="2"/>
    <s v="Headphones"/>
    <n v="853"/>
    <n v="5"/>
    <n v="4265"/>
    <n v="44"/>
    <s v="Male"/>
    <s v="Kolkata"/>
    <s v="Email Campaign"/>
    <s v="UPI"/>
    <n v="0.2"/>
    <s v="No"/>
    <s v="February"/>
  </r>
  <r>
    <n v="1021"/>
    <d v="2023-10-17T00:00:00"/>
    <x v="4"/>
    <s v="Football"/>
    <n v="819"/>
    <n v="1"/>
    <n v="819"/>
    <n v="30"/>
    <s v="Female"/>
    <s v="Mumbai"/>
    <s v="Facebook Ads"/>
    <s v="Credit Card"/>
    <n v="0.25"/>
    <s v="No"/>
    <s v="October"/>
  </r>
  <r>
    <n v="1022"/>
    <d v="2023-03-27T00:00:00"/>
    <x v="0"/>
    <s v="Remote Car"/>
    <n v="20"/>
    <n v="1"/>
    <n v="20"/>
    <n v="34"/>
    <s v="Female"/>
    <s v="Ahmedabad"/>
    <s v="Facebook Ads"/>
    <s v="Cash on Delivery"/>
    <n v="0.2"/>
    <s v="Yes"/>
    <s v="March"/>
  </r>
  <r>
    <n v="1023"/>
    <d v="2023-08-29T00:00:00"/>
    <x v="5"/>
    <s v="Sweater"/>
    <n v="510"/>
    <n v="4"/>
    <n v="2040"/>
    <n v="27"/>
    <s v="Female"/>
    <s v="Bangalore"/>
    <s v="Facebook Ads"/>
    <s v="UPI"/>
    <n v="0.25"/>
    <s v="Yes"/>
    <s v="August"/>
  </r>
  <r>
    <n v="1024"/>
    <d v="2023-04-10T00:00:00"/>
    <x v="5"/>
    <s v="Sweater"/>
    <n v="26"/>
    <n v="3"/>
    <n v="78"/>
    <n v="27"/>
    <s v="Male"/>
    <s v="Bangalore"/>
    <s v="Instagram"/>
    <s v="Cash on Delivery"/>
    <n v="0.15"/>
    <s v="No"/>
    <s v="April"/>
  </r>
  <r>
    <n v="1025"/>
    <d v="2023-09-09T00:00:00"/>
    <x v="0"/>
    <s v="Lego Set"/>
    <n v="831"/>
    <n v="3"/>
    <n v="2493"/>
    <n v="32"/>
    <s v="Female"/>
    <s v="Jaipur"/>
    <s v="Google Ads"/>
    <s v="PayPal"/>
    <n v="0.3"/>
    <s v="No"/>
    <s v="September"/>
  </r>
  <r>
    <n v="1026"/>
    <d v="2023-09-30T00:00:00"/>
    <x v="6"/>
    <s v="Boots"/>
    <n v="302"/>
    <n v="4"/>
    <n v="1208"/>
    <n v="39"/>
    <s v="Male"/>
    <s v="Chennai"/>
    <s v="Email Campaign"/>
    <s v="Debit Card"/>
    <n v="0.1"/>
    <s v="Yes"/>
    <s v="September"/>
  </r>
  <r>
    <n v="1027"/>
    <d v="2023-03-18T00:00:00"/>
    <x v="5"/>
    <s v="Dress"/>
    <n v="656"/>
    <n v="5"/>
    <n v="3280"/>
    <n v="20"/>
    <s v="Male"/>
    <s v="Bangalore"/>
    <s v="Organic Search"/>
    <s v="Debit Card"/>
    <n v="0.2"/>
    <s v="Yes"/>
    <s v="March"/>
  </r>
  <r>
    <n v="1028"/>
    <d v="2023-05-06T00:00:00"/>
    <x v="6"/>
    <s v="Formal Shoes"/>
    <n v="399"/>
    <n v="3"/>
    <n v="1197"/>
    <n v="58"/>
    <s v="Male"/>
    <s v="Ahmedabad"/>
    <s v="Facebook Ads"/>
    <s v="PayPal"/>
    <n v="0.1"/>
    <s v="Yes"/>
    <s v="May"/>
  </r>
  <r>
    <n v="1029"/>
    <d v="2023-06-27T00:00:00"/>
    <x v="4"/>
    <s v="Yoga Mat"/>
    <n v="118"/>
    <n v="1"/>
    <n v="118"/>
    <n v="27"/>
    <s v="Female"/>
    <s v="Ahmedabad"/>
    <s v="Instagram"/>
    <s v="Debit Card"/>
    <n v="0.1"/>
    <s v="Yes"/>
    <s v="June"/>
  </r>
  <r>
    <n v="1030"/>
    <d v="2023-06-10T00:00:00"/>
    <x v="3"/>
    <s v="Bread"/>
    <n v="275"/>
    <n v="1"/>
    <n v="275"/>
    <n v="38"/>
    <s v="Female"/>
    <s v="Delhi"/>
    <s v="Google Ads"/>
    <s v="UPI"/>
    <n v="0.2"/>
    <s v="No"/>
    <s v="June"/>
  </r>
  <r>
    <n v="1031"/>
    <d v="2024-01-22T00:00:00"/>
    <x v="2"/>
    <s v="Smartphone"/>
    <n v="644"/>
    <n v="3"/>
    <n v="1932"/>
    <n v="36"/>
    <s v="Female"/>
    <s v="Hyderabad"/>
    <s v="Organic Search"/>
    <s v="PayPal"/>
    <n v="0.05"/>
    <s v="Yes"/>
    <s v="January"/>
  </r>
  <r>
    <n v="1032"/>
    <d v="2023-04-15T00:00:00"/>
    <x v="5"/>
    <s v="Jeans"/>
    <n v="1029"/>
    <n v="2"/>
    <n v="2058"/>
    <n v="45"/>
    <s v="Female"/>
    <s v="Chennai"/>
    <s v="Email Campaign"/>
    <s v="UPI"/>
    <n v="0.05"/>
    <s v="No"/>
    <s v="April"/>
  </r>
  <r>
    <n v="1033"/>
    <d v="2023-11-10T00:00:00"/>
    <x v="3"/>
    <s v="Milk"/>
    <n v="436"/>
    <n v="3"/>
    <n v="1308"/>
    <n v="52"/>
    <s v="Male"/>
    <s v="Bangalore"/>
    <s v="Facebook Ads"/>
    <s v="Debit Card"/>
    <n v="0.1"/>
    <s v="No"/>
    <s v="November"/>
  </r>
  <r>
    <n v="1034"/>
    <d v="2023-05-24T00:00:00"/>
    <x v="6"/>
    <s v="Running Shoes"/>
    <n v="685"/>
    <n v="4"/>
    <n v="2740"/>
    <n v="38"/>
    <s v="Male"/>
    <s v="Hyderabad"/>
    <s v="Facebook Ads"/>
    <s v="Cash on Delivery"/>
    <n v="0.2"/>
    <s v="Yes"/>
    <s v="May"/>
  </r>
  <r>
    <n v="1035"/>
    <d v="2023-10-17T00:00:00"/>
    <x v="5"/>
    <s v="Dress"/>
    <n v="131"/>
    <n v="1"/>
    <n v="131"/>
    <n v="37"/>
    <s v="Female"/>
    <s v="Bangalore"/>
    <s v="Instagram"/>
    <s v="PayPal"/>
    <n v="0.2"/>
    <s v="Yes"/>
    <s v="October"/>
  </r>
  <r>
    <n v="1036"/>
    <d v="2023-06-06T00:00:00"/>
    <x v="0"/>
    <s v="Board Game"/>
    <n v="592"/>
    <n v="2"/>
    <n v="1184"/>
    <n v="60"/>
    <s v="Female"/>
    <s v="Delhi"/>
    <s v="Email Campaign"/>
    <s v="UPI"/>
    <n v="0.15"/>
    <s v="Yes"/>
    <s v="June"/>
  </r>
  <r>
    <n v="1037"/>
    <d v="2023-05-08T00:00:00"/>
    <x v="3"/>
    <s v="Organic Vegetables"/>
    <n v="937"/>
    <n v="4"/>
    <n v="3748"/>
    <n v="34"/>
    <s v="Male"/>
    <s v="Hyderabad"/>
    <s v="Referral"/>
    <s v="UPI"/>
    <n v="0.25"/>
    <s v="Yes"/>
    <s v="May"/>
  </r>
  <r>
    <n v="1038"/>
    <d v="2023-06-18T00:00:00"/>
    <x v="5"/>
    <s v="Dress"/>
    <n v="228"/>
    <n v="1"/>
    <n v="228"/>
    <n v="21"/>
    <s v="Female"/>
    <s v="Ahmedabad"/>
    <s v="Google Ads"/>
    <s v="Cash on Delivery"/>
    <n v="0.15"/>
    <s v="No"/>
    <s v="June"/>
  </r>
  <r>
    <n v="1039"/>
    <d v="2023-01-02T00:00:00"/>
    <x v="2"/>
    <s v="Smartwatch"/>
    <n v="385"/>
    <n v="1"/>
    <n v="385"/>
    <n v="18"/>
    <s v="Female"/>
    <s v="Pune"/>
    <s v="Organic Search"/>
    <s v="PayPal"/>
    <n v="0.2"/>
    <s v="Yes"/>
    <s v="January"/>
  </r>
  <r>
    <n v="1040"/>
    <d v="2023-06-08T00:00:00"/>
    <x v="6"/>
    <s v="Sandals"/>
    <n v="180"/>
    <n v="3"/>
    <n v="540"/>
    <n v="35"/>
    <s v="Female"/>
    <s v="Mumbai"/>
    <s v="Facebook Ads"/>
    <s v="UPI"/>
    <n v="0.1"/>
    <s v="No"/>
    <s v="June"/>
  </r>
  <r>
    <n v="1041"/>
    <d v="2023-03-21T00:00:00"/>
    <x v="3"/>
    <s v="Coffee"/>
    <n v="900"/>
    <n v="3"/>
    <n v="2700"/>
    <n v="51"/>
    <s v="Female"/>
    <s v="Pune"/>
    <s v="Google Ads"/>
    <s v="UPI"/>
    <n v="0.2"/>
    <s v="No"/>
    <s v="March"/>
  </r>
  <r>
    <n v="1042"/>
    <d v="2023-06-21T00:00:00"/>
    <x v="6"/>
    <s v="Sandals"/>
    <n v="97"/>
    <n v="4"/>
    <n v="388"/>
    <n v="49"/>
    <s v="Male"/>
    <s v="Delhi"/>
    <s v="Email Campaign"/>
    <s v="Credit Card"/>
    <n v="0.1"/>
    <s v="Yes"/>
    <s v="June"/>
  </r>
  <r>
    <n v="1043"/>
    <d v="2023-09-21T00:00:00"/>
    <x v="6"/>
    <s v="Boots"/>
    <n v="895"/>
    <n v="5"/>
    <n v="4475"/>
    <n v="58"/>
    <s v="Male"/>
    <s v="Hyderabad"/>
    <s v="Referral"/>
    <s v="Cash on Delivery"/>
    <n v="0.3"/>
    <s v="Yes"/>
    <s v="September"/>
  </r>
  <r>
    <n v="1044"/>
    <d v="2023-08-08T00:00:00"/>
    <x v="5"/>
    <s v="Dress"/>
    <n v="312"/>
    <n v="3"/>
    <n v="936"/>
    <n v="32"/>
    <s v="Female"/>
    <s v="Lucknow"/>
    <s v="Referral"/>
    <s v="Debit Card"/>
    <n v="0.15"/>
    <s v="Yes"/>
    <s v="August"/>
  </r>
  <r>
    <n v="1045"/>
    <d v="2023-07-21T00:00:00"/>
    <x v="3"/>
    <s v="Bread"/>
    <n v="1232"/>
    <n v="1"/>
    <n v="1232"/>
    <n v="41"/>
    <s v="Female"/>
    <s v="Hyderabad"/>
    <s v="Google Ads"/>
    <s v="PayPal"/>
    <n v="0.15"/>
    <s v="Yes"/>
    <s v="July"/>
  </r>
  <r>
    <n v="1046"/>
    <d v="2023-02-04T00:00:00"/>
    <x v="3"/>
    <s v="Cereal Pack"/>
    <n v="88"/>
    <n v="1"/>
    <n v="88"/>
    <n v="31"/>
    <s v="Female"/>
    <s v="Mumbai"/>
    <s v="Referral"/>
    <s v="UPI"/>
    <n v="0.1"/>
    <s v="No"/>
    <s v="February"/>
  </r>
  <r>
    <n v="1047"/>
    <d v="2023-05-23T00:00:00"/>
    <x v="3"/>
    <s v="Bread"/>
    <n v="1146"/>
    <n v="3"/>
    <n v="3438"/>
    <n v="30"/>
    <s v="Male"/>
    <s v="Pune"/>
    <s v="Referral"/>
    <s v="UPI"/>
    <n v="0.3"/>
    <s v="Yes"/>
    <s v="May"/>
  </r>
  <r>
    <n v="1048"/>
    <d v="2023-03-12T00:00:00"/>
    <x v="1"/>
    <s v="Cushions"/>
    <n v="471"/>
    <n v="2"/>
    <n v="942"/>
    <n v="43"/>
    <s v="Male"/>
    <s v="Lucknow"/>
    <s v="Instagram"/>
    <s v="Cash on Delivery"/>
    <n v="0.15"/>
    <s v="No"/>
    <s v="March"/>
  </r>
  <r>
    <n v="1049"/>
    <d v="2023-12-10T00:00:00"/>
    <x v="3"/>
    <s v="Bread"/>
    <n v="435"/>
    <n v="5"/>
    <n v="2175"/>
    <n v="47"/>
    <s v="Female"/>
    <s v="Delhi"/>
    <s v="Referral"/>
    <s v="Cash on Delivery"/>
    <n v="0.1"/>
    <s v="No"/>
    <s v="December"/>
  </r>
  <r>
    <n v="1050"/>
    <d v="2023-09-03T00:00:00"/>
    <x v="4"/>
    <s v="Skipping Rope"/>
    <n v="979"/>
    <n v="4"/>
    <n v="3916"/>
    <n v="50"/>
    <s v="Male"/>
    <s v="Ahmedabad"/>
    <s v="Email Campaign"/>
    <s v="UPI"/>
    <n v="0.1"/>
    <s v="No"/>
    <s v="September"/>
  </r>
  <r>
    <n v="1051"/>
    <d v="2023-11-28T00:00:00"/>
    <x v="4"/>
    <s v="Skipping Rope"/>
    <n v="300"/>
    <n v="5"/>
    <n v="1500"/>
    <n v="58"/>
    <s v="Male"/>
    <s v="Pune"/>
    <s v="Google Ads"/>
    <s v="PayPal"/>
    <n v="0.05"/>
    <s v="Yes"/>
    <s v="November"/>
  </r>
  <r>
    <n v="1052"/>
    <d v="2023-10-16T00:00:00"/>
    <x v="3"/>
    <s v="Cereal Pack"/>
    <n v="23"/>
    <n v="4"/>
    <n v="92"/>
    <n v="59"/>
    <s v="Female"/>
    <s v="Pune"/>
    <s v="Referral"/>
    <s v="Credit Card"/>
    <n v="0.05"/>
    <s v="Yes"/>
    <s v="October"/>
  </r>
  <r>
    <n v="1053"/>
    <d v="2024-02-03T00:00:00"/>
    <x v="2"/>
    <s v="Tablet"/>
    <n v="336"/>
    <n v="1"/>
    <n v="336"/>
    <n v="33"/>
    <s v="Male"/>
    <s v="Kolkata"/>
    <s v="Referral"/>
    <s v="Debit Card"/>
    <n v="0.25"/>
    <s v="No"/>
    <s v="February"/>
  </r>
  <r>
    <n v="1054"/>
    <d v="2023-06-17T00:00:00"/>
    <x v="0"/>
    <s v="Lego Set"/>
    <n v="97"/>
    <n v="5"/>
    <n v="485"/>
    <n v="49"/>
    <s v="Male"/>
    <s v="Hyderabad"/>
    <s v="Organic Search"/>
    <s v="UPI"/>
    <n v="0.15"/>
    <s v="Yes"/>
    <s v="June"/>
  </r>
  <r>
    <n v="1055"/>
    <d v="2023-03-07T00:00:00"/>
    <x v="4"/>
    <s v="Basketball"/>
    <n v="135"/>
    <n v="5"/>
    <n v="675"/>
    <n v="27"/>
    <s v="Male"/>
    <s v="Lucknow"/>
    <s v="Facebook Ads"/>
    <s v="PayPal"/>
    <n v="0.2"/>
    <s v="Yes"/>
    <s v="March"/>
  </r>
  <r>
    <n v="1056"/>
    <d v="2023-11-27T00:00:00"/>
    <x v="6"/>
    <s v="Formal Shoes"/>
    <n v="318"/>
    <n v="1"/>
    <n v="318"/>
    <n v="35"/>
    <s v="Male"/>
    <s v="Kolkata"/>
    <s v="Referral"/>
    <s v="PayPal"/>
    <n v="0.3"/>
    <s v="Yes"/>
    <s v="November"/>
  </r>
  <r>
    <n v="1057"/>
    <d v="2023-12-21T00:00:00"/>
    <x v="6"/>
    <s v="Formal Shoes"/>
    <n v="200"/>
    <n v="1"/>
    <n v="200"/>
    <n v="54"/>
    <s v="Male"/>
    <s v="Pune"/>
    <s v="Email Campaign"/>
    <s v="Cash on Delivery"/>
    <n v="0.2"/>
    <s v="No"/>
    <s v="December"/>
  </r>
  <r>
    <n v="1058"/>
    <d v="2023-01-06T00:00:00"/>
    <x v="2"/>
    <s v="Smartphone"/>
    <n v="738"/>
    <n v="5"/>
    <n v="3690"/>
    <n v="34"/>
    <s v="Male"/>
    <s v="Pune"/>
    <s v="Instagram"/>
    <s v="Cash on Delivery"/>
    <n v="0.25"/>
    <s v="No"/>
    <s v="January"/>
  </r>
  <r>
    <n v="1059"/>
    <d v="2023-05-21T00:00:00"/>
    <x v="5"/>
    <s v="Winter Jacket"/>
    <n v="433"/>
    <n v="1"/>
    <n v="433"/>
    <n v="40"/>
    <s v="Male"/>
    <s v="Mumbai"/>
    <s v="Email Campaign"/>
    <s v="UPI"/>
    <n v="0.15"/>
    <s v="Yes"/>
    <s v="May"/>
  </r>
  <r>
    <n v="1060"/>
    <d v="2023-05-14T00:00:00"/>
    <x v="0"/>
    <s v="Board Game"/>
    <n v="121"/>
    <n v="1"/>
    <n v="121"/>
    <n v="24"/>
    <s v="Male"/>
    <s v="Kolkata"/>
    <s v="Facebook Ads"/>
    <s v="Debit Card"/>
    <n v="0.05"/>
    <s v="Yes"/>
    <s v="May"/>
  </r>
  <r>
    <n v="1061"/>
    <d v="2024-01-12T00:00:00"/>
    <x v="6"/>
    <s v="Sandals"/>
    <n v="506"/>
    <n v="4"/>
    <n v="2024"/>
    <n v="52"/>
    <s v="Male"/>
    <s v="Kolkata"/>
    <s v="Instagram"/>
    <s v="Debit Card"/>
    <n v="0.25"/>
    <s v="Yes"/>
    <s v="January"/>
  </r>
  <r>
    <n v="1062"/>
    <d v="2023-01-02T00:00:00"/>
    <x v="2"/>
    <s v="Laptop"/>
    <n v="913"/>
    <n v="2"/>
    <n v="1826"/>
    <n v="53"/>
    <s v="Male"/>
    <s v="Kolkata"/>
    <s v="Facebook Ads"/>
    <s v="Cash on Delivery"/>
    <n v="0.15"/>
    <s v="No"/>
    <s v="January"/>
  </r>
  <r>
    <n v="1063"/>
    <d v="2023-08-23T00:00:00"/>
    <x v="3"/>
    <s v="Milk"/>
    <n v="610"/>
    <n v="1"/>
    <n v="610"/>
    <n v="35"/>
    <s v="Female"/>
    <s v="Lucknow"/>
    <s v="Email Campaign"/>
    <s v="Credit Card"/>
    <n v="0.3"/>
    <s v="No"/>
    <s v="August"/>
  </r>
  <r>
    <n v="1064"/>
    <d v="2024-01-29T00:00:00"/>
    <x v="1"/>
    <s v="Carpet"/>
    <n v="430"/>
    <n v="4"/>
    <n v="1720"/>
    <n v="37"/>
    <s v="Female"/>
    <s v="Chennai"/>
    <s v="Referral"/>
    <s v="PayPal"/>
    <n v="0.15"/>
    <s v="Yes"/>
    <s v="January"/>
  </r>
  <r>
    <n v="1065"/>
    <d v="2023-10-05T00:00:00"/>
    <x v="0"/>
    <s v="Dollhouse"/>
    <n v="383"/>
    <n v="4"/>
    <n v="1532"/>
    <n v="24"/>
    <s v="Female"/>
    <s v="Kolkata"/>
    <s v="Google Ads"/>
    <s v="Credit Card"/>
    <n v="0.15"/>
    <s v="No"/>
    <s v="October"/>
  </r>
  <r>
    <n v="1066"/>
    <d v="2023-02-27T00:00:00"/>
    <x v="5"/>
    <s v="T-shirt"/>
    <n v="985"/>
    <n v="3"/>
    <n v="2955"/>
    <n v="53"/>
    <s v="Female"/>
    <s v="Chennai"/>
    <s v="Facebook Ads"/>
    <s v="Credit Card"/>
    <n v="0.25"/>
    <s v="Yes"/>
    <s v="February"/>
  </r>
  <r>
    <n v="1067"/>
    <d v="2023-03-26T00:00:00"/>
    <x v="1"/>
    <s v="Table Lamp"/>
    <n v="835"/>
    <n v="5"/>
    <n v="4175"/>
    <n v="29"/>
    <s v="Male"/>
    <s v="Mumbai"/>
    <s v="Referral"/>
    <s v="Cash on Delivery"/>
    <n v="0.25"/>
    <s v="Yes"/>
    <s v="March"/>
  </r>
  <r>
    <n v="1068"/>
    <d v="2023-10-15T00:00:00"/>
    <x v="4"/>
    <s v="Skipping Rope"/>
    <n v="882"/>
    <n v="4"/>
    <n v="3528"/>
    <n v="46"/>
    <s v="Female"/>
    <s v="Kolkata"/>
    <s v="Organic Search"/>
    <s v="PayPal"/>
    <n v="0.1"/>
    <s v="Yes"/>
    <s v="October"/>
  </r>
  <r>
    <n v="1069"/>
    <d v="2023-08-04T00:00:00"/>
    <x v="3"/>
    <s v="Cereal Pack"/>
    <n v="1493"/>
    <n v="4"/>
    <n v="5972"/>
    <n v="38"/>
    <s v="Female"/>
    <s v="Jaipur"/>
    <s v="Referral"/>
    <s v="Debit Card"/>
    <n v="0.3"/>
    <s v="Yes"/>
    <s v="August"/>
  </r>
  <r>
    <n v="1070"/>
    <d v="2023-04-02T00:00:00"/>
    <x v="5"/>
    <s v="T-shirt"/>
    <n v="1420"/>
    <n v="4"/>
    <n v="5680"/>
    <n v="39"/>
    <s v="Male"/>
    <s v="Jaipur"/>
    <s v="Referral"/>
    <s v="Cash on Delivery"/>
    <n v="0.25"/>
    <s v="No"/>
    <s v="April"/>
  </r>
  <r>
    <n v="1071"/>
    <d v="2023-02-05T00:00:00"/>
    <x v="4"/>
    <s v="Yoga Mat"/>
    <n v="928"/>
    <n v="1"/>
    <n v="928"/>
    <n v="36"/>
    <s v="Female"/>
    <s v="Ahmedabad"/>
    <s v="Instagram"/>
    <s v="Cash on Delivery"/>
    <n v="0.25"/>
    <s v="Yes"/>
    <s v="February"/>
  </r>
  <r>
    <n v="1072"/>
    <d v="2023-09-28T00:00:00"/>
    <x v="1"/>
    <s v="Carpet"/>
    <n v="1239"/>
    <n v="5"/>
    <n v="6195"/>
    <n v="34"/>
    <s v="Female"/>
    <s v="Hyderabad"/>
    <s v="Google Ads"/>
    <s v="PayPal"/>
    <n v="0.05"/>
    <s v="No"/>
    <s v="September"/>
  </r>
  <r>
    <n v="1073"/>
    <d v="2023-12-01T00:00:00"/>
    <x v="3"/>
    <s v="Milk"/>
    <n v="505"/>
    <n v="1"/>
    <n v="505"/>
    <n v="26"/>
    <s v="Female"/>
    <s v="Chennai"/>
    <s v="Referral"/>
    <s v="Credit Card"/>
    <n v="0.05"/>
    <s v="No"/>
    <s v="December"/>
  </r>
  <r>
    <n v="1074"/>
    <d v="2023-02-04T00:00:00"/>
    <x v="3"/>
    <s v="Coffee"/>
    <n v="446"/>
    <n v="1"/>
    <n v="446"/>
    <n v="60"/>
    <s v="Female"/>
    <s v="Jaipur"/>
    <s v="Facebook Ads"/>
    <s v="Credit Card"/>
    <n v="0.25"/>
    <s v="No"/>
    <s v="February"/>
  </r>
  <r>
    <n v="1075"/>
    <d v="2023-04-24T00:00:00"/>
    <x v="6"/>
    <s v="Formal Shoes"/>
    <n v="201"/>
    <n v="3"/>
    <n v="603"/>
    <n v="45"/>
    <s v="Male"/>
    <s v="Jaipur"/>
    <s v="Instagram"/>
    <s v="Debit Card"/>
    <n v="0.15"/>
    <s v="No"/>
    <s v="April"/>
  </r>
  <r>
    <n v="1076"/>
    <d v="2023-07-30T00:00:00"/>
    <x v="4"/>
    <s v="Football"/>
    <n v="194"/>
    <n v="4"/>
    <n v="776"/>
    <n v="36"/>
    <s v="Female"/>
    <s v="Hyderabad"/>
    <s v="Facebook Ads"/>
    <s v="Cash on Delivery"/>
    <n v="0.25"/>
    <s v="Yes"/>
    <s v="July"/>
  </r>
  <r>
    <n v="1077"/>
    <d v="2023-12-22T00:00:00"/>
    <x v="4"/>
    <s v="Skipping Rope"/>
    <n v="1422"/>
    <n v="3"/>
    <n v="4266"/>
    <n v="41"/>
    <s v="Male"/>
    <s v="Chennai"/>
    <s v="Google Ads"/>
    <s v="Debit Card"/>
    <n v="0.3"/>
    <s v="Yes"/>
    <s v="December"/>
  </r>
  <r>
    <n v="1078"/>
    <d v="2023-10-06T00:00:00"/>
    <x v="3"/>
    <s v="Coffee"/>
    <n v="584"/>
    <n v="4"/>
    <n v="2336"/>
    <n v="47"/>
    <s v="Female"/>
    <s v="Hyderabad"/>
    <s v="Google Ads"/>
    <s v="Cash on Delivery"/>
    <n v="0.2"/>
    <s v="No"/>
    <s v="October"/>
  </r>
  <r>
    <n v="1079"/>
    <d v="2023-07-02T00:00:00"/>
    <x v="6"/>
    <s v="Boots"/>
    <n v="1239"/>
    <n v="3"/>
    <n v="3717"/>
    <n v="39"/>
    <s v="Male"/>
    <s v="Lucknow"/>
    <s v="Organic Search"/>
    <s v="Debit Card"/>
    <n v="0.2"/>
    <s v="Yes"/>
    <s v="July"/>
  </r>
  <r>
    <n v="1080"/>
    <d v="2023-10-17T00:00:00"/>
    <x v="6"/>
    <s v="Sneakers"/>
    <n v="1119"/>
    <n v="3"/>
    <n v="3357"/>
    <n v="27"/>
    <s v="Male"/>
    <s v="Pune"/>
    <s v="Google Ads"/>
    <s v="Credit Card"/>
    <n v="0.2"/>
    <s v="No"/>
    <s v="October"/>
  </r>
  <r>
    <n v="1081"/>
    <d v="2023-06-13T00:00:00"/>
    <x v="3"/>
    <s v="Organic Vegetables"/>
    <n v="993"/>
    <n v="5"/>
    <n v="4965"/>
    <n v="25"/>
    <s v="Male"/>
    <s v="Delhi"/>
    <s v="Organic Search"/>
    <s v="Cash on Delivery"/>
    <n v="0.1"/>
    <s v="No"/>
    <s v="June"/>
  </r>
  <r>
    <n v="1082"/>
    <d v="2023-01-27T00:00:00"/>
    <x v="1"/>
    <s v="Carpet"/>
    <n v="816"/>
    <n v="2"/>
    <n v="1632"/>
    <n v="53"/>
    <s v="Female"/>
    <s v="Kolkata"/>
    <s v="Instagram"/>
    <s v="PayPal"/>
    <n v="0.05"/>
    <s v="Yes"/>
    <s v="January"/>
  </r>
  <r>
    <n v="1083"/>
    <d v="2023-04-09T00:00:00"/>
    <x v="3"/>
    <s v="Coffee"/>
    <n v="464"/>
    <n v="1"/>
    <n v="464"/>
    <n v="46"/>
    <s v="Male"/>
    <s v="Mumbai"/>
    <s v="Instagram"/>
    <s v="PayPal"/>
    <n v="0.15"/>
    <s v="No"/>
    <s v="April"/>
  </r>
  <r>
    <n v="1084"/>
    <d v="2023-05-18T00:00:00"/>
    <x v="1"/>
    <s v="Cushions"/>
    <n v="1334"/>
    <n v="1"/>
    <n v="1334"/>
    <n v="33"/>
    <s v="Male"/>
    <s v="Lucknow"/>
    <s v="Referral"/>
    <s v="Debit Card"/>
    <n v="0.25"/>
    <s v="No"/>
    <s v="May"/>
  </r>
  <r>
    <n v="1085"/>
    <d v="2023-03-13T00:00:00"/>
    <x v="3"/>
    <s v="Organic Vegetables"/>
    <n v="1231"/>
    <n v="4"/>
    <n v="4924"/>
    <n v="40"/>
    <s v="Female"/>
    <s v="Jaipur"/>
    <s v="Referral"/>
    <s v="Cash on Delivery"/>
    <n v="0.25"/>
    <s v="Yes"/>
    <s v="March"/>
  </r>
  <r>
    <n v="1086"/>
    <d v="2023-08-13T00:00:00"/>
    <x v="3"/>
    <s v="Cereal Pack"/>
    <n v="1164"/>
    <n v="2"/>
    <n v="2328"/>
    <n v="49"/>
    <s v="Male"/>
    <s v="Kolkata"/>
    <s v="Email Campaign"/>
    <s v="PayPal"/>
    <n v="0.15"/>
    <s v="No"/>
    <s v="August"/>
  </r>
  <r>
    <n v="1087"/>
    <d v="2023-01-24T00:00:00"/>
    <x v="5"/>
    <s v="Sweater"/>
    <n v="706"/>
    <n v="5"/>
    <n v="3530"/>
    <n v="43"/>
    <s v="Female"/>
    <s v="Mumbai"/>
    <s v="Email Campaign"/>
    <s v="Credit Card"/>
    <n v="0.1"/>
    <s v="Yes"/>
    <s v="January"/>
  </r>
  <r>
    <n v="1088"/>
    <d v="2024-02-05T00:00:00"/>
    <x v="0"/>
    <s v="Remote Car"/>
    <n v="1321"/>
    <n v="4"/>
    <n v="5284"/>
    <n v="46"/>
    <s v="Male"/>
    <s v="Bangalore"/>
    <s v="Facebook Ads"/>
    <s v="PayPal"/>
    <n v="0.05"/>
    <s v="Yes"/>
    <s v="February"/>
  </r>
  <r>
    <n v="1089"/>
    <d v="2023-03-03T00:00:00"/>
    <x v="4"/>
    <s v="Tennis Racket"/>
    <n v="732"/>
    <n v="5"/>
    <n v="3660"/>
    <n v="29"/>
    <s v="Female"/>
    <s v="Pune"/>
    <s v="Referral"/>
    <s v="Credit Card"/>
    <n v="0.3"/>
    <s v="Yes"/>
    <s v="March"/>
  </r>
  <r>
    <n v="1090"/>
    <d v="2023-02-26T00:00:00"/>
    <x v="1"/>
    <s v="Carpet"/>
    <n v="1325"/>
    <n v="2"/>
    <n v="2650"/>
    <n v="30"/>
    <s v="Male"/>
    <s v="Hyderabad"/>
    <s v="Instagram"/>
    <s v="Debit Card"/>
    <n v="0.15"/>
    <s v="No"/>
    <s v="February"/>
  </r>
  <r>
    <n v="1091"/>
    <d v="2023-04-02T00:00:00"/>
    <x v="2"/>
    <s v="Smartphone"/>
    <n v="1026"/>
    <n v="1"/>
    <n v="1026"/>
    <n v="30"/>
    <s v="Male"/>
    <s v="Delhi"/>
    <s v="Referral"/>
    <s v="Debit Card"/>
    <n v="0.15"/>
    <s v="No"/>
    <s v="April"/>
  </r>
  <r>
    <n v="1092"/>
    <d v="2023-10-05T00:00:00"/>
    <x v="4"/>
    <s v="Basketball"/>
    <n v="923"/>
    <n v="4"/>
    <n v="3692"/>
    <n v="59"/>
    <s v="Female"/>
    <s v="Hyderabad"/>
    <s v="Instagram"/>
    <s v="PayPal"/>
    <n v="0.05"/>
    <s v="No"/>
    <s v="October"/>
  </r>
  <r>
    <n v="1093"/>
    <d v="2023-12-09T00:00:00"/>
    <x v="2"/>
    <s v="Smartwatch"/>
    <n v="665"/>
    <n v="2"/>
    <n v="1330"/>
    <n v="59"/>
    <s v="Female"/>
    <s v="Bangalore"/>
    <s v="Facebook Ads"/>
    <s v="PayPal"/>
    <n v="0.25"/>
    <s v="No"/>
    <s v="December"/>
  </r>
  <r>
    <n v="1094"/>
    <d v="2023-09-29T00:00:00"/>
    <x v="0"/>
    <s v="Lego Set"/>
    <n v="410"/>
    <n v="1"/>
    <n v="410"/>
    <n v="43"/>
    <s v="Male"/>
    <s v="Chennai"/>
    <s v="Facebook Ads"/>
    <s v="Debit Card"/>
    <n v="0.3"/>
    <s v="Yes"/>
    <s v="September"/>
  </r>
  <r>
    <n v="1095"/>
    <d v="2023-07-01T00:00:00"/>
    <x v="1"/>
    <s v="Cushions"/>
    <n v="1497"/>
    <n v="3"/>
    <n v="4491"/>
    <n v="48"/>
    <s v="Male"/>
    <s v="Kolkata"/>
    <s v="Organic Search"/>
    <s v="PayPal"/>
    <n v="0.2"/>
    <s v="No"/>
    <s v="July"/>
  </r>
  <r>
    <n v="1096"/>
    <d v="2023-06-20T00:00:00"/>
    <x v="4"/>
    <s v="Tennis Racket"/>
    <n v="169"/>
    <n v="5"/>
    <n v="845"/>
    <n v="50"/>
    <s v="Male"/>
    <s v="Bangalore"/>
    <s v="Referral"/>
    <s v="Credit Card"/>
    <n v="0.2"/>
    <s v="Yes"/>
    <s v="June"/>
  </r>
  <r>
    <n v="1097"/>
    <d v="2023-10-11T00:00:00"/>
    <x v="0"/>
    <s v="Puzzle"/>
    <n v="1396"/>
    <n v="3"/>
    <n v="4188"/>
    <n v="55"/>
    <s v="Female"/>
    <s v="Lucknow"/>
    <s v="Instagram"/>
    <s v="Cash on Delivery"/>
    <n v="0.25"/>
    <s v="No"/>
    <s v="October"/>
  </r>
  <r>
    <n v="1098"/>
    <d v="2024-01-16T00:00:00"/>
    <x v="4"/>
    <s v="Skipping Rope"/>
    <n v="311"/>
    <n v="3"/>
    <n v="933"/>
    <n v="26"/>
    <s v="Female"/>
    <s v="Hyderabad"/>
    <s v="Facebook Ads"/>
    <s v="UPI"/>
    <n v="0.3"/>
    <s v="Yes"/>
    <s v="January"/>
  </r>
  <r>
    <n v="1099"/>
    <d v="2023-05-24T00:00:00"/>
    <x v="3"/>
    <s v="Bread"/>
    <n v="1291"/>
    <n v="1"/>
    <n v="1291"/>
    <n v="47"/>
    <s v="Male"/>
    <s v="Jaipur"/>
    <s v="Instagram"/>
    <s v="Cash on Delivery"/>
    <n v="0.05"/>
    <s v="Yes"/>
    <s v="May"/>
  </r>
  <r>
    <n v="1100"/>
    <d v="2024-02-04T00:00:00"/>
    <x v="4"/>
    <s v="Basketball"/>
    <n v="1492"/>
    <n v="1"/>
    <n v="1492"/>
    <n v="44"/>
    <s v="Female"/>
    <s v="Pune"/>
    <s v="Instagram"/>
    <s v="Debit Card"/>
    <n v="0.2"/>
    <s v="No"/>
    <s v="February"/>
  </r>
  <r>
    <n v="1101"/>
    <d v="2023-10-28T00:00:00"/>
    <x v="5"/>
    <s v="T-shirt"/>
    <n v="1369"/>
    <n v="5"/>
    <n v="6845"/>
    <n v="18"/>
    <s v="Female"/>
    <s v="Chennai"/>
    <s v="Email Campaign"/>
    <s v="UPI"/>
    <n v="0.1"/>
    <s v="No"/>
    <s v="October"/>
  </r>
  <r>
    <n v="1102"/>
    <d v="2023-05-18T00:00:00"/>
    <x v="3"/>
    <s v="Bread"/>
    <n v="1218"/>
    <n v="2"/>
    <n v="2436"/>
    <n v="36"/>
    <s v="Female"/>
    <s v="Ahmedabad"/>
    <s v="Referral"/>
    <s v="UPI"/>
    <n v="0.1"/>
    <s v="No"/>
    <s v="May"/>
  </r>
  <r>
    <n v="1103"/>
    <d v="2023-04-20T00:00:00"/>
    <x v="3"/>
    <s v="Milk"/>
    <n v="726"/>
    <n v="4"/>
    <n v="2904"/>
    <n v="29"/>
    <s v="Male"/>
    <s v="Bangalore"/>
    <s v="Instagram"/>
    <s v="Cash on Delivery"/>
    <n v="0.15"/>
    <s v="Yes"/>
    <s v="April"/>
  </r>
  <r>
    <n v="1104"/>
    <d v="2023-06-25T00:00:00"/>
    <x v="6"/>
    <s v="Sneakers"/>
    <n v="787"/>
    <n v="4"/>
    <n v="3148"/>
    <n v="57"/>
    <s v="Female"/>
    <s v="Kolkata"/>
    <s v="Organic Search"/>
    <s v="Cash on Delivery"/>
    <n v="0.2"/>
    <s v="Yes"/>
    <s v="June"/>
  </r>
  <r>
    <n v="1105"/>
    <d v="2023-01-22T00:00:00"/>
    <x v="2"/>
    <s v="Smartphone"/>
    <n v="226"/>
    <n v="2"/>
    <n v="452"/>
    <n v="45"/>
    <s v="Female"/>
    <s v="Mumbai"/>
    <s v="Instagram"/>
    <s v="Cash on Delivery"/>
    <n v="0.1"/>
    <s v="No"/>
    <s v="January"/>
  </r>
  <r>
    <n v="1106"/>
    <d v="2023-03-31T00:00:00"/>
    <x v="5"/>
    <s v="Sweater"/>
    <n v="1396"/>
    <n v="3"/>
    <n v="4188"/>
    <n v="20"/>
    <s v="Male"/>
    <s v="Pune"/>
    <s v="Organic Search"/>
    <s v="Debit Card"/>
    <n v="0.3"/>
    <s v="Yes"/>
    <s v="March"/>
  </r>
  <r>
    <n v="1107"/>
    <d v="2023-08-04T00:00:00"/>
    <x v="4"/>
    <s v="Football"/>
    <n v="822"/>
    <n v="4"/>
    <n v="3288"/>
    <n v="32"/>
    <s v="Female"/>
    <s v="Pune"/>
    <s v="Email Campaign"/>
    <s v="Debit Card"/>
    <n v="0.2"/>
    <s v="Yes"/>
    <s v="August"/>
  </r>
  <r>
    <n v="1108"/>
    <d v="2023-06-05T00:00:00"/>
    <x v="3"/>
    <s v="Cereal Pack"/>
    <n v="125"/>
    <n v="5"/>
    <n v="625"/>
    <n v="38"/>
    <s v="Male"/>
    <s v="Lucknow"/>
    <s v="Google Ads"/>
    <s v="Credit Card"/>
    <n v="0.15"/>
    <s v="Yes"/>
    <s v="June"/>
  </r>
  <r>
    <n v="1109"/>
    <d v="2023-10-07T00:00:00"/>
    <x v="5"/>
    <s v="Winter Jacket"/>
    <n v="1362"/>
    <n v="4"/>
    <n v="5448"/>
    <n v="35"/>
    <s v="Male"/>
    <s v="Lucknow"/>
    <s v="Facebook Ads"/>
    <s v="PayPal"/>
    <n v="0.1"/>
    <s v="Yes"/>
    <s v="October"/>
  </r>
  <r>
    <n v="1110"/>
    <d v="2023-10-08T00:00:00"/>
    <x v="4"/>
    <s v="Basketball"/>
    <n v="693"/>
    <n v="2"/>
    <n v="1386"/>
    <n v="31"/>
    <s v="Male"/>
    <s v="Pune"/>
    <s v="Instagram"/>
    <s v="Cash on Delivery"/>
    <n v="0.05"/>
    <s v="No"/>
    <s v="October"/>
  </r>
  <r>
    <n v="1111"/>
    <d v="2024-01-02T00:00:00"/>
    <x v="3"/>
    <s v="Organic Vegetables"/>
    <n v="940"/>
    <n v="4"/>
    <n v="3760"/>
    <n v="31"/>
    <s v="Female"/>
    <s v="Mumbai"/>
    <s v="Email Campaign"/>
    <s v="UPI"/>
    <n v="0.1"/>
    <s v="Yes"/>
    <s v="January"/>
  </r>
  <r>
    <n v="1112"/>
    <d v="2023-02-22T00:00:00"/>
    <x v="1"/>
    <s v="Curtains"/>
    <n v="1205"/>
    <n v="5"/>
    <n v="6025"/>
    <n v="21"/>
    <s v="Male"/>
    <s v="Mumbai"/>
    <s v="Email Campaign"/>
    <s v="PayPal"/>
    <n v="0.2"/>
    <s v="No"/>
    <s v="February"/>
  </r>
  <r>
    <n v="1113"/>
    <d v="2023-04-23T00:00:00"/>
    <x v="0"/>
    <s v="Remote Car"/>
    <n v="1445"/>
    <n v="4"/>
    <n v="5780"/>
    <n v="55"/>
    <s v="Female"/>
    <s v="Ahmedabad"/>
    <s v="Google Ads"/>
    <s v="Cash on Delivery"/>
    <n v="0.3"/>
    <s v="Yes"/>
    <s v="April"/>
  </r>
  <r>
    <n v="1114"/>
    <d v="2023-11-15T00:00:00"/>
    <x v="4"/>
    <s v="Skipping Rope"/>
    <n v="224"/>
    <n v="5"/>
    <n v="1120"/>
    <n v="32"/>
    <s v="Male"/>
    <s v="Kolkata"/>
    <s v="Referral"/>
    <s v="UPI"/>
    <n v="0.1"/>
    <s v="No"/>
    <s v="November"/>
  </r>
  <r>
    <n v="1115"/>
    <d v="2023-03-21T00:00:00"/>
    <x v="3"/>
    <s v="Milk"/>
    <n v="241"/>
    <n v="5"/>
    <n v="1205"/>
    <n v="41"/>
    <s v="Male"/>
    <s v="Chennai"/>
    <s v="Google Ads"/>
    <s v="Cash on Delivery"/>
    <n v="0.15"/>
    <s v="Yes"/>
    <s v="March"/>
  </r>
  <r>
    <n v="1116"/>
    <d v="2023-01-29T00:00:00"/>
    <x v="3"/>
    <s v="Milk"/>
    <n v="218"/>
    <n v="5"/>
    <n v="1090"/>
    <n v="46"/>
    <s v="Male"/>
    <s v="Delhi"/>
    <s v="Email Campaign"/>
    <s v="PayPal"/>
    <n v="0.25"/>
    <s v="Yes"/>
    <s v="January"/>
  </r>
  <r>
    <n v="1117"/>
    <d v="2023-04-09T00:00:00"/>
    <x v="0"/>
    <s v="Board Game"/>
    <n v="1297"/>
    <n v="5"/>
    <n v="6485"/>
    <n v="19"/>
    <s v="Male"/>
    <s v="Mumbai"/>
    <s v="Google Ads"/>
    <s v="Credit Card"/>
    <n v="0.3"/>
    <s v="Yes"/>
    <s v="April"/>
  </r>
  <r>
    <n v="1118"/>
    <d v="2024-01-07T00:00:00"/>
    <x v="2"/>
    <s v="Smartphone"/>
    <n v="168"/>
    <n v="5"/>
    <n v="840"/>
    <n v="40"/>
    <s v="Female"/>
    <s v="Lucknow"/>
    <s v="Instagram"/>
    <s v="PayPal"/>
    <n v="0.15"/>
    <s v="Yes"/>
    <s v="January"/>
  </r>
  <r>
    <n v="1119"/>
    <d v="2023-01-30T00:00:00"/>
    <x v="6"/>
    <s v="Sneakers"/>
    <n v="70"/>
    <n v="1"/>
    <n v="70"/>
    <n v="22"/>
    <s v="Female"/>
    <s v="Lucknow"/>
    <s v="Google Ads"/>
    <s v="UPI"/>
    <n v="0.25"/>
    <s v="Yes"/>
    <s v="January"/>
  </r>
  <r>
    <n v="1120"/>
    <d v="2023-05-23T00:00:00"/>
    <x v="6"/>
    <s v="Running Shoes"/>
    <n v="877"/>
    <n v="1"/>
    <n v="877"/>
    <n v="27"/>
    <s v="Female"/>
    <s v="Mumbai"/>
    <s v="Email Campaign"/>
    <s v="Debit Card"/>
    <n v="0.15"/>
    <s v="Yes"/>
    <s v="May"/>
  </r>
  <r>
    <n v="1121"/>
    <d v="2023-07-17T00:00:00"/>
    <x v="0"/>
    <s v="Board Game"/>
    <n v="195"/>
    <n v="3"/>
    <n v="585"/>
    <n v="30"/>
    <s v="Male"/>
    <s v="Pune"/>
    <s v="Organic Search"/>
    <s v="UPI"/>
    <n v="0.1"/>
    <s v="Yes"/>
    <s v="July"/>
  </r>
  <r>
    <n v="1122"/>
    <d v="2023-03-28T00:00:00"/>
    <x v="3"/>
    <s v="Bread"/>
    <n v="219"/>
    <n v="1"/>
    <n v="219"/>
    <n v="41"/>
    <s v="Female"/>
    <s v="Bangalore"/>
    <s v="Facebook Ads"/>
    <s v="PayPal"/>
    <n v="0.15"/>
    <s v="No"/>
    <s v="March"/>
  </r>
  <r>
    <n v="1123"/>
    <d v="2023-10-08T00:00:00"/>
    <x v="6"/>
    <s v="Sneakers"/>
    <n v="995"/>
    <n v="3"/>
    <n v="2985"/>
    <n v="52"/>
    <s v="Male"/>
    <s v="Jaipur"/>
    <s v="Facebook Ads"/>
    <s v="Debit Card"/>
    <n v="0.1"/>
    <s v="Yes"/>
    <s v="October"/>
  </r>
  <r>
    <n v="1124"/>
    <d v="2024-02-03T00:00:00"/>
    <x v="3"/>
    <s v="Organic Vegetables"/>
    <n v="524"/>
    <n v="5"/>
    <n v="2620"/>
    <n v="23"/>
    <s v="Female"/>
    <s v="Delhi"/>
    <s v="Google Ads"/>
    <s v="PayPal"/>
    <n v="0.05"/>
    <s v="Yes"/>
    <s v="February"/>
  </r>
  <r>
    <n v="1125"/>
    <d v="2023-03-16T00:00:00"/>
    <x v="0"/>
    <s v="Board Game"/>
    <n v="954"/>
    <n v="5"/>
    <n v="4770"/>
    <n v="30"/>
    <s v="Male"/>
    <s v="Jaipur"/>
    <s v="Instagram"/>
    <s v="UPI"/>
    <n v="0.3"/>
    <s v="Yes"/>
    <s v="March"/>
  </r>
  <r>
    <n v="1126"/>
    <d v="2023-11-23T00:00:00"/>
    <x v="2"/>
    <s v="Laptop"/>
    <n v="757"/>
    <n v="2"/>
    <n v="1514"/>
    <n v="53"/>
    <s v="Female"/>
    <s v="Mumbai"/>
    <s v="Instagram"/>
    <s v="Cash on Delivery"/>
    <n v="0.3"/>
    <s v="Yes"/>
    <s v="November"/>
  </r>
  <r>
    <n v="1127"/>
    <d v="2024-01-02T00:00:00"/>
    <x v="6"/>
    <s v="Sandals"/>
    <n v="383"/>
    <n v="4"/>
    <n v="1532"/>
    <n v="23"/>
    <s v="Male"/>
    <s v="Ahmedabad"/>
    <s v="Google Ads"/>
    <s v="PayPal"/>
    <n v="0.3"/>
    <s v="Yes"/>
    <s v="January"/>
  </r>
  <r>
    <n v="1128"/>
    <d v="2023-10-05T00:00:00"/>
    <x v="3"/>
    <s v="Organic Vegetables"/>
    <n v="294"/>
    <n v="1"/>
    <n v="294"/>
    <n v="52"/>
    <s v="Male"/>
    <s v="Chennai"/>
    <s v="Email Campaign"/>
    <s v="Credit Card"/>
    <n v="0.1"/>
    <s v="No"/>
    <s v="October"/>
  </r>
  <r>
    <n v="1129"/>
    <d v="2023-12-15T00:00:00"/>
    <x v="5"/>
    <s v="Jeans"/>
    <n v="924"/>
    <n v="1"/>
    <n v="924"/>
    <n v="25"/>
    <s v="Female"/>
    <s v="Jaipur"/>
    <s v="Instagram"/>
    <s v="Debit Card"/>
    <n v="0.2"/>
    <s v="Yes"/>
    <s v="December"/>
  </r>
  <r>
    <n v="1130"/>
    <d v="2023-02-03T00:00:00"/>
    <x v="1"/>
    <s v="Cushions"/>
    <n v="888"/>
    <n v="2"/>
    <n v="1776"/>
    <n v="53"/>
    <s v="Male"/>
    <s v="Ahmedabad"/>
    <s v="Instagram"/>
    <s v="Debit Card"/>
    <n v="0.15"/>
    <s v="No"/>
    <s v="February"/>
  </r>
  <r>
    <n v="1131"/>
    <d v="2023-07-27T00:00:00"/>
    <x v="6"/>
    <s v="Formal Shoes"/>
    <n v="1101"/>
    <n v="1"/>
    <n v="1101"/>
    <n v="35"/>
    <s v="Female"/>
    <s v="Hyderabad"/>
    <s v="Email Campaign"/>
    <s v="UPI"/>
    <n v="0.05"/>
    <s v="Yes"/>
    <s v="July"/>
  </r>
  <r>
    <n v="1132"/>
    <d v="2023-10-05T00:00:00"/>
    <x v="1"/>
    <s v="Table Lamp"/>
    <n v="1170"/>
    <n v="1"/>
    <n v="1170"/>
    <n v="38"/>
    <s v="Female"/>
    <s v="Hyderabad"/>
    <s v="Google Ads"/>
    <s v="PayPal"/>
    <n v="0.05"/>
    <s v="No"/>
    <s v="October"/>
  </r>
  <r>
    <n v="1133"/>
    <d v="2023-09-17T00:00:00"/>
    <x v="2"/>
    <s v="Tablet"/>
    <n v="370"/>
    <n v="2"/>
    <n v="740"/>
    <n v="59"/>
    <s v="Female"/>
    <s v="Mumbai"/>
    <s v="Email Campaign"/>
    <s v="Debit Card"/>
    <n v="0.05"/>
    <s v="No"/>
    <s v="September"/>
  </r>
  <r>
    <n v="1134"/>
    <d v="2023-09-17T00:00:00"/>
    <x v="0"/>
    <s v="Remote Car"/>
    <n v="218"/>
    <n v="2"/>
    <n v="436"/>
    <n v="47"/>
    <s v="Male"/>
    <s v="Kolkata"/>
    <s v="Instagram"/>
    <s v="UPI"/>
    <n v="0.15"/>
    <s v="No"/>
    <s v="September"/>
  </r>
  <r>
    <n v="1135"/>
    <d v="2023-01-13T00:00:00"/>
    <x v="2"/>
    <s v="Smartwatch"/>
    <n v="433"/>
    <n v="2"/>
    <n v="866"/>
    <n v="30"/>
    <s v="Male"/>
    <s v="Mumbai"/>
    <s v="Google Ads"/>
    <s v="Credit Card"/>
    <n v="0.25"/>
    <s v="No"/>
    <s v="January"/>
  </r>
  <r>
    <n v="1136"/>
    <d v="2023-08-21T00:00:00"/>
    <x v="6"/>
    <s v="Sneakers"/>
    <n v="627"/>
    <n v="3"/>
    <n v="1881"/>
    <n v="33"/>
    <s v="Female"/>
    <s v="Hyderabad"/>
    <s v="Facebook Ads"/>
    <s v="Cash on Delivery"/>
    <n v="0.3"/>
    <s v="No"/>
    <s v="August"/>
  </r>
  <r>
    <n v="1137"/>
    <d v="2023-06-13T00:00:00"/>
    <x v="0"/>
    <s v="Remote Car"/>
    <n v="1289"/>
    <n v="3"/>
    <n v="3867"/>
    <n v="42"/>
    <s v="Male"/>
    <s v="Bangalore"/>
    <s v="Organic Search"/>
    <s v="UPI"/>
    <n v="0.2"/>
    <s v="Yes"/>
    <s v="June"/>
  </r>
  <r>
    <n v="1138"/>
    <d v="2024-01-19T00:00:00"/>
    <x v="2"/>
    <s v="Smartwatch"/>
    <n v="713"/>
    <n v="3"/>
    <n v="2139"/>
    <n v="33"/>
    <s v="Female"/>
    <s v="Jaipur"/>
    <s v="Email Campaign"/>
    <s v="UPI"/>
    <n v="0.3"/>
    <s v="No"/>
    <s v="January"/>
  </r>
  <r>
    <n v="1139"/>
    <d v="2023-02-13T00:00:00"/>
    <x v="1"/>
    <s v="Curtains"/>
    <n v="240"/>
    <n v="4"/>
    <n v="960"/>
    <n v="39"/>
    <s v="Male"/>
    <s v="Hyderabad"/>
    <s v="Instagram"/>
    <s v="Cash on Delivery"/>
    <n v="0.15"/>
    <s v="Yes"/>
    <s v="February"/>
  </r>
  <r>
    <n v="1140"/>
    <d v="2023-09-23T00:00:00"/>
    <x v="4"/>
    <s v="Basketball"/>
    <n v="417"/>
    <n v="5"/>
    <n v="2085"/>
    <n v="31"/>
    <s v="Female"/>
    <s v="Pune"/>
    <s v="Email Campaign"/>
    <s v="UPI"/>
    <n v="0.1"/>
    <s v="Yes"/>
    <s v="September"/>
  </r>
  <r>
    <n v="1141"/>
    <d v="2023-12-23T00:00:00"/>
    <x v="3"/>
    <s v="Coffee"/>
    <n v="1416"/>
    <n v="1"/>
    <n v="1416"/>
    <n v="45"/>
    <s v="Female"/>
    <s v="Lucknow"/>
    <s v="Referral"/>
    <s v="UPI"/>
    <n v="0.2"/>
    <s v="Yes"/>
    <s v="December"/>
  </r>
  <r>
    <n v="1142"/>
    <d v="2023-04-28T00:00:00"/>
    <x v="4"/>
    <s v="Basketball"/>
    <n v="1467"/>
    <n v="1"/>
    <n v="1467"/>
    <n v="51"/>
    <s v="Female"/>
    <s v="Kolkata"/>
    <s v="Organic Search"/>
    <s v="Debit Card"/>
    <n v="0.1"/>
    <s v="Yes"/>
    <s v="April"/>
  </r>
  <r>
    <n v="1143"/>
    <d v="2023-07-23T00:00:00"/>
    <x v="1"/>
    <s v="Wall Art"/>
    <n v="778"/>
    <n v="3"/>
    <n v="2334"/>
    <n v="49"/>
    <s v="Male"/>
    <s v="Pune"/>
    <s v="Referral"/>
    <s v="PayPal"/>
    <n v="0.25"/>
    <s v="No"/>
    <s v="July"/>
  </r>
  <r>
    <n v="1144"/>
    <d v="2023-12-17T00:00:00"/>
    <x v="2"/>
    <s v="Headphones"/>
    <n v="1401"/>
    <n v="5"/>
    <n v="7005"/>
    <n v="40"/>
    <s v="Female"/>
    <s v="Ahmedabad"/>
    <s v="Instagram"/>
    <s v="Cash on Delivery"/>
    <n v="0.3"/>
    <s v="Yes"/>
    <s v="December"/>
  </r>
  <r>
    <n v="1145"/>
    <d v="2023-02-14T00:00:00"/>
    <x v="6"/>
    <s v="Sneakers"/>
    <n v="1163"/>
    <n v="1"/>
    <n v="1163"/>
    <n v="37"/>
    <s v="Male"/>
    <s v="Jaipur"/>
    <s v="Facebook Ads"/>
    <s v="Debit Card"/>
    <n v="0.3"/>
    <s v="Yes"/>
    <s v="February"/>
  </r>
  <r>
    <n v="1146"/>
    <d v="2023-06-20T00:00:00"/>
    <x v="1"/>
    <s v="Wall Art"/>
    <n v="643"/>
    <n v="5"/>
    <n v="3215"/>
    <n v="42"/>
    <s v="Female"/>
    <s v="Kolkata"/>
    <s v="Referral"/>
    <s v="UPI"/>
    <n v="0.3"/>
    <s v="No"/>
    <s v="June"/>
  </r>
  <r>
    <n v="1147"/>
    <d v="2023-09-17T00:00:00"/>
    <x v="1"/>
    <s v="Cushions"/>
    <n v="911"/>
    <n v="1"/>
    <n v="911"/>
    <n v="34"/>
    <s v="Female"/>
    <s v="Jaipur"/>
    <s v="Instagram"/>
    <s v="UPI"/>
    <n v="0.3"/>
    <s v="Yes"/>
    <s v="September"/>
  </r>
  <r>
    <n v="1148"/>
    <d v="2023-11-10T00:00:00"/>
    <x v="1"/>
    <s v="Wall Art"/>
    <n v="1026"/>
    <n v="3"/>
    <n v="3078"/>
    <n v="28"/>
    <s v="Female"/>
    <s v="Hyderabad"/>
    <s v="Facebook Ads"/>
    <s v="UPI"/>
    <n v="0.1"/>
    <s v="Yes"/>
    <s v="November"/>
  </r>
  <r>
    <n v="1149"/>
    <d v="2023-08-27T00:00:00"/>
    <x v="6"/>
    <s v="Running Shoes"/>
    <n v="1384"/>
    <n v="3"/>
    <n v="4152"/>
    <n v="49"/>
    <s v="Male"/>
    <s v="Delhi"/>
    <s v="Instagram"/>
    <s v="Debit Card"/>
    <n v="0.3"/>
    <s v="Yes"/>
    <s v="August"/>
  </r>
  <r>
    <n v="1150"/>
    <d v="2023-05-01T00:00:00"/>
    <x v="5"/>
    <s v="Dress"/>
    <n v="492"/>
    <n v="4"/>
    <n v="1968"/>
    <n v="50"/>
    <s v="Male"/>
    <s v="Chennai"/>
    <s v="Instagram"/>
    <s v="Cash on Delivery"/>
    <n v="0.3"/>
    <s v="Yes"/>
    <s v="May"/>
  </r>
  <r>
    <n v="1151"/>
    <d v="2023-11-21T00:00:00"/>
    <x v="3"/>
    <s v="Bread"/>
    <n v="185"/>
    <n v="3"/>
    <n v="555"/>
    <n v="53"/>
    <s v="Female"/>
    <s v="Hyderabad"/>
    <s v="Organic Search"/>
    <s v="Cash on Delivery"/>
    <n v="0.25"/>
    <s v="Yes"/>
    <s v="November"/>
  </r>
  <r>
    <n v="1152"/>
    <d v="2023-08-15T00:00:00"/>
    <x v="5"/>
    <s v="T-shirt"/>
    <n v="32"/>
    <n v="1"/>
    <n v="32"/>
    <n v="39"/>
    <s v="Female"/>
    <s v="Kolkata"/>
    <s v="Instagram"/>
    <s v="Credit Card"/>
    <n v="0.2"/>
    <s v="Yes"/>
    <s v="August"/>
  </r>
  <r>
    <n v="1153"/>
    <d v="2023-10-08T00:00:00"/>
    <x v="2"/>
    <s v="Tablet"/>
    <n v="1425"/>
    <n v="1"/>
    <n v="1425"/>
    <n v="46"/>
    <s v="Female"/>
    <s v="Chennai"/>
    <s v="Email Campaign"/>
    <s v="Cash on Delivery"/>
    <n v="0.05"/>
    <s v="No"/>
    <s v="October"/>
  </r>
  <r>
    <n v="1154"/>
    <d v="2023-09-12T00:00:00"/>
    <x v="6"/>
    <s v="Formal Shoes"/>
    <n v="1096"/>
    <n v="2"/>
    <n v="2192"/>
    <n v="29"/>
    <s v="Female"/>
    <s v="Chennai"/>
    <s v="Instagram"/>
    <s v="Credit Card"/>
    <n v="0.05"/>
    <s v="Yes"/>
    <s v="September"/>
  </r>
  <r>
    <n v="1155"/>
    <d v="2023-07-05T00:00:00"/>
    <x v="0"/>
    <s v="Puzzle"/>
    <n v="763"/>
    <n v="1"/>
    <n v="763"/>
    <n v="50"/>
    <s v="Male"/>
    <s v="Bangalore"/>
    <s v="Email Campaign"/>
    <s v="Cash on Delivery"/>
    <n v="0.05"/>
    <s v="No"/>
    <s v="July"/>
  </r>
  <r>
    <n v="1156"/>
    <d v="2024-02-05T00:00:00"/>
    <x v="0"/>
    <s v="Remote Car"/>
    <n v="903"/>
    <n v="2"/>
    <n v="1806"/>
    <n v="21"/>
    <s v="Male"/>
    <s v="Kolkata"/>
    <s v="Facebook Ads"/>
    <s v="Cash on Delivery"/>
    <n v="0.3"/>
    <s v="No"/>
    <s v="February"/>
  </r>
  <r>
    <n v="1157"/>
    <d v="2023-02-10T00:00:00"/>
    <x v="3"/>
    <s v="Cereal Pack"/>
    <n v="703"/>
    <n v="2"/>
    <n v="1406"/>
    <n v="24"/>
    <s v="Female"/>
    <s v="Chennai"/>
    <s v="Google Ads"/>
    <s v="Credit Card"/>
    <n v="0.1"/>
    <s v="Yes"/>
    <s v="February"/>
  </r>
  <r>
    <n v="1158"/>
    <d v="2023-12-06T00:00:00"/>
    <x v="0"/>
    <s v="Board Game"/>
    <n v="947"/>
    <n v="3"/>
    <n v="2841"/>
    <n v="52"/>
    <s v="Male"/>
    <s v="Ahmedabad"/>
    <s v="Email Campaign"/>
    <s v="Credit Card"/>
    <n v="0.15"/>
    <s v="Yes"/>
    <s v="December"/>
  </r>
  <r>
    <n v="1159"/>
    <d v="2023-01-06T00:00:00"/>
    <x v="1"/>
    <s v="Table Lamp"/>
    <n v="1010"/>
    <n v="1"/>
    <n v="1010"/>
    <n v="27"/>
    <s v="Female"/>
    <s v="Jaipur"/>
    <s v="Referral"/>
    <s v="PayPal"/>
    <n v="0.1"/>
    <s v="Yes"/>
    <s v="January"/>
  </r>
  <r>
    <n v="1160"/>
    <d v="2023-03-05T00:00:00"/>
    <x v="2"/>
    <s v="Tablet"/>
    <n v="1228"/>
    <n v="3"/>
    <n v="3684"/>
    <n v="20"/>
    <s v="Female"/>
    <s v="Bangalore"/>
    <s v="Facebook Ads"/>
    <s v="Debit Card"/>
    <n v="0.05"/>
    <s v="Yes"/>
    <s v="March"/>
  </r>
  <r>
    <n v="1161"/>
    <d v="2023-01-23T00:00:00"/>
    <x v="0"/>
    <s v="Remote Car"/>
    <n v="439"/>
    <n v="5"/>
    <n v="2195"/>
    <n v="47"/>
    <s v="Male"/>
    <s v="Lucknow"/>
    <s v="Facebook Ads"/>
    <s v="UPI"/>
    <n v="0.05"/>
    <s v="Yes"/>
    <s v="January"/>
  </r>
  <r>
    <n v="1162"/>
    <d v="2023-07-15T00:00:00"/>
    <x v="5"/>
    <s v="Sweater"/>
    <n v="1302"/>
    <n v="3"/>
    <n v="3906"/>
    <n v="49"/>
    <s v="Female"/>
    <s v="Bangalore"/>
    <s v="Email Campaign"/>
    <s v="Cash on Delivery"/>
    <n v="0.25"/>
    <s v="Yes"/>
    <s v="July"/>
  </r>
  <r>
    <n v="1163"/>
    <d v="2023-08-20T00:00:00"/>
    <x v="4"/>
    <s v="Skipping Rope"/>
    <n v="1194"/>
    <n v="2"/>
    <n v="2388"/>
    <n v="33"/>
    <s v="Female"/>
    <s v="Bangalore"/>
    <s v="Organic Search"/>
    <s v="UPI"/>
    <n v="0.2"/>
    <s v="Yes"/>
    <s v="August"/>
  </r>
  <r>
    <n v="1164"/>
    <d v="2023-06-17T00:00:00"/>
    <x v="6"/>
    <s v="Running Shoes"/>
    <n v="124"/>
    <n v="2"/>
    <n v="248"/>
    <n v="33"/>
    <s v="Female"/>
    <s v="Jaipur"/>
    <s v="Facebook Ads"/>
    <s v="Debit Card"/>
    <n v="0.25"/>
    <s v="No"/>
    <s v="June"/>
  </r>
  <r>
    <n v="1165"/>
    <d v="2023-08-15T00:00:00"/>
    <x v="5"/>
    <s v="Sweater"/>
    <n v="864"/>
    <n v="3"/>
    <n v="2592"/>
    <n v="47"/>
    <s v="Male"/>
    <s v="Delhi"/>
    <s v="Instagram"/>
    <s v="PayPal"/>
    <n v="0.25"/>
    <s v="Yes"/>
    <s v="August"/>
  </r>
  <r>
    <n v="1166"/>
    <d v="2023-10-17T00:00:00"/>
    <x v="0"/>
    <s v="Lego Set"/>
    <n v="1326"/>
    <n v="4"/>
    <n v="5304"/>
    <n v="37"/>
    <s v="Male"/>
    <s v="Lucknow"/>
    <s v="Organic Search"/>
    <s v="Credit Card"/>
    <n v="0.15"/>
    <s v="Yes"/>
    <s v="October"/>
  </r>
  <r>
    <n v="1167"/>
    <d v="2023-03-30T00:00:00"/>
    <x v="2"/>
    <s v="Headphones"/>
    <n v="183"/>
    <n v="5"/>
    <n v="915"/>
    <n v="32"/>
    <s v="Male"/>
    <s v="Jaipur"/>
    <s v="Email Campaign"/>
    <s v="Debit Card"/>
    <n v="0.05"/>
    <s v="No"/>
    <s v="March"/>
  </r>
  <r>
    <n v="1168"/>
    <d v="2023-12-23T00:00:00"/>
    <x v="1"/>
    <s v="Table Lamp"/>
    <n v="213"/>
    <n v="4"/>
    <n v="852"/>
    <n v="23"/>
    <s v="Male"/>
    <s v="Ahmedabad"/>
    <s v="Facebook Ads"/>
    <s v="Credit Card"/>
    <n v="0.05"/>
    <s v="Yes"/>
    <s v="December"/>
  </r>
  <r>
    <n v="1169"/>
    <d v="2023-12-24T00:00:00"/>
    <x v="1"/>
    <s v="Curtains"/>
    <n v="284"/>
    <n v="4"/>
    <n v="1136"/>
    <n v="44"/>
    <s v="Male"/>
    <s v="Pune"/>
    <s v="Email Campaign"/>
    <s v="UPI"/>
    <n v="0.3"/>
    <s v="No"/>
    <s v="December"/>
  </r>
  <r>
    <n v="1170"/>
    <d v="2024-01-28T00:00:00"/>
    <x v="6"/>
    <s v="Running Shoes"/>
    <n v="585"/>
    <n v="3"/>
    <n v="1755"/>
    <n v="22"/>
    <s v="Male"/>
    <s v="Delhi"/>
    <s v="Referral"/>
    <s v="Cash on Delivery"/>
    <n v="0.15"/>
    <s v="Yes"/>
    <s v="January"/>
  </r>
  <r>
    <n v="1171"/>
    <d v="2023-03-11T00:00:00"/>
    <x v="6"/>
    <s v="Running Shoes"/>
    <n v="1036"/>
    <n v="1"/>
    <n v="1036"/>
    <n v="32"/>
    <s v="Male"/>
    <s v="Hyderabad"/>
    <s v="Email Campaign"/>
    <s v="Credit Card"/>
    <n v="0.3"/>
    <s v="Yes"/>
    <s v="March"/>
  </r>
  <r>
    <n v="1172"/>
    <d v="2023-05-07T00:00:00"/>
    <x v="1"/>
    <s v="Cushions"/>
    <n v="1035"/>
    <n v="3"/>
    <n v="3105"/>
    <n v="51"/>
    <s v="Female"/>
    <s v="Ahmedabad"/>
    <s v="Organic Search"/>
    <s v="Debit Card"/>
    <n v="0.3"/>
    <s v="Yes"/>
    <s v="May"/>
  </r>
  <r>
    <n v="1173"/>
    <d v="2023-08-19T00:00:00"/>
    <x v="0"/>
    <s v="Remote Car"/>
    <n v="606"/>
    <n v="4"/>
    <n v="2424"/>
    <n v="18"/>
    <s v="Male"/>
    <s v="Ahmedabad"/>
    <s v="Organic Search"/>
    <s v="Debit Card"/>
    <n v="0.3"/>
    <s v="Yes"/>
    <s v="August"/>
  </r>
  <r>
    <n v="1174"/>
    <d v="2023-06-07T00:00:00"/>
    <x v="4"/>
    <s v="Yoga Mat"/>
    <n v="447"/>
    <n v="3"/>
    <n v="1341"/>
    <n v="19"/>
    <s v="Female"/>
    <s v="Bangalore"/>
    <s v="Organic Search"/>
    <s v="PayPal"/>
    <n v="0.2"/>
    <s v="No"/>
    <s v="June"/>
  </r>
  <r>
    <n v="1175"/>
    <d v="2023-09-26T00:00:00"/>
    <x v="4"/>
    <s v="Tennis Racket"/>
    <n v="350"/>
    <n v="4"/>
    <n v="1400"/>
    <n v="19"/>
    <s v="Female"/>
    <s v="Kolkata"/>
    <s v="Organic Search"/>
    <s v="Cash on Delivery"/>
    <n v="0.05"/>
    <s v="Yes"/>
    <s v="September"/>
  </r>
  <r>
    <n v="1176"/>
    <d v="2023-03-20T00:00:00"/>
    <x v="2"/>
    <s v="Laptop"/>
    <n v="1352"/>
    <n v="4"/>
    <n v="5408"/>
    <n v="30"/>
    <s v="Male"/>
    <s v="Mumbai"/>
    <s v="Facebook Ads"/>
    <s v="Cash on Delivery"/>
    <n v="0.3"/>
    <s v="Yes"/>
    <s v="March"/>
  </r>
  <r>
    <n v="1177"/>
    <d v="2023-11-27T00:00:00"/>
    <x v="2"/>
    <s v="Smartphone"/>
    <n v="1432"/>
    <n v="2"/>
    <n v="2864"/>
    <n v="59"/>
    <s v="Female"/>
    <s v="Delhi"/>
    <s v="Email Campaign"/>
    <s v="Cash on Delivery"/>
    <n v="0.3"/>
    <s v="Yes"/>
    <s v="November"/>
  </r>
  <r>
    <n v="1178"/>
    <d v="2023-05-27T00:00:00"/>
    <x v="0"/>
    <s v="Puzzle"/>
    <n v="540"/>
    <n v="3"/>
    <n v="1620"/>
    <n v="26"/>
    <s v="Male"/>
    <s v="Hyderabad"/>
    <s v="Google Ads"/>
    <s v="Credit Card"/>
    <n v="0.05"/>
    <s v="No"/>
    <s v="May"/>
  </r>
  <r>
    <n v="1179"/>
    <d v="2023-01-14T00:00:00"/>
    <x v="2"/>
    <s v="Laptop"/>
    <n v="1103"/>
    <n v="2"/>
    <n v="2206"/>
    <n v="51"/>
    <s v="Female"/>
    <s v="Delhi"/>
    <s v="Instagram"/>
    <s v="Debit Card"/>
    <n v="0.1"/>
    <s v="Yes"/>
    <s v="January"/>
  </r>
  <r>
    <n v="1180"/>
    <d v="2023-06-27T00:00:00"/>
    <x v="2"/>
    <s v="Smartwatch"/>
    <n v="79"/>
    <n v="3"/>
    <n v="237"/>
    <n v="28"/>
    <s v="Male"/>
    <s v="Bangalore"/>
    <s v="Referral"/>
    <s v="Debit Card"/>
    <n v="0.1"/>
    <s v="Yes"/>
    <s v="June"/>
  </r>
  <r>
    <n v="1181"/>
    <d v="2023-09-18T00:00:00"/>
    <x v="1"/>
    <s v="Carpet"/>
    <n v="1038"/>
    <n v="2"/>
    <n v="2076"/>
    <n v="20"/>
    <s v="Male"/>
    <s v="Hyderabad"/>
    <s v="Referral"/>
    <s v="Credit Card"/>
    <n v="0.25"/>
    <s v="Yes"/>
    <s v="September"/>
  </r>
  <r>
    <n v="1182"/>
    <d v="2023-08-18T00:00:00"/>
    <x v="3"/>
    <s v="Coffee"/>
    <n v="287"/>
    <n v="1"/>
    <n v="287"/>
    <n v="51"/>
    <s v="Female"/>
    <s v="Bangalore"/>
    <s v="Facebook Ads"/>
    <s v="Credit Card"/>
    <n v="0.1"/>
    <s v="No"/>
    <s v="August"/>
  </r>
  <r>
    <n v="1183"/>
    <d v="2023-01-07T00:00:00"/>
    <x v="3"/>
    <s v="Coffee"/>
    <n v="490"/>
    <n v="3"/>
    <n v="1470"/>
    <n v="40"/>
    <s v="Male"/>
    <s v="Lucknow"/>
    <s v="Organic Search"/>
    <s v="Debit Card"/>
    <n v="0.25"/>
    <s v="No"/>
    <s v="January"/>
  </r>
  <r>
    <n v="1184"/>
    <d v="2023-02-22T00:00:00"/>
    <x v="4"/>
    <s v="Football"/>
    <n v="428"/>
    <n v="1"/>
    <n v="428"/>
    <n v="60"/>
    <s v="Female"/>
    <s v="Kolkata"/>
    <s v="Referral"/>
    <s v="UPI"/>
    <n v="0.25"/>
    <s v="Yes"/>
    <s v="February"/>
  </r>
  <r>
    <n v="1185"/>
    <d v="2023-10-10T00:00:00"/>
    <x v="2"/>
    <s v="Smartwatch"/>
    <n v="810"/>
    <n v="1"/>
    <n v="810"/>
    <n v="27"/>
    <s v="Female"/>
    <s v="Jaipur"/>
    <s v="Referral"/>
    <s v="PayPal"/>
    <n v="0.1"/>
    <s v="Yes"/>
    <s v="October"/>
  </r>
  <r>
    <n v="1186"/>
    <d v="2023-04-05T00:00:00"/>
    <x v="3"/>
    <s v="Coffee"/>
    <n v="976"/>
    <n v="2"/>
    <n v="1952"/>
    <n v="31"/>
    <s v="Male"/>
    <s v="Pune"/>
    <s v="Organic Search"/>
    <s v="UPI"/>
    <n v="0.25"/>
    <s v="No"/>
    <s v="April"/>
  </r>
  <r>
    <n v="1187"/>
    <d v="2023-05-31T00:00:00"/>
    <x v="5"/>
    <s v="Sweater"/>
    <n v="971"/>
    <n v="4"/>
    <n v="3884"/>
    <n v="27"/>
    <s v="Male"/>
    <s v="Jaipur"/>
    <s v="Instagram"/>
    <s v="Debit Card"/>
    <n v="0.25"/>
    <s v="Yes"/>
    <s v="May"/>
  </r>
  <r>
    <n v="1188"/>
    <d v="2023-02-03T00:00:00"/>
    <x v="1"/>
    <s v="Curtains"/>
    <n v="1231"/>
    <n v="4"/>
    <n v="4924"/>
    <n v="59"/>
    <s v="Female"/>
    <s v="Chennai"/>
    <s v="Referral"/>
    <s v="Credit Card"/>
    <n v="0.25"/>
    <s v="Yes"/>
    <s v="February"/>
  </r>
  <r>
    <n v="1189"/>
    <d v="2023-06-23T00:00:00"/>
    <x v="0"/>
    <s v="Board Game"/>
    <n v="1419"/>
    <n v="1"/>
    <n v="1419"/>
    <n v="37"/>
    <s v="Female"/>
    <s v="Pune"/>
    <s v="Instagram"/>
    <s v="Cash on Delivery"/>
    <n v="0.1"/>
    <s v="No"/>
    <s v="June"/>
  </r>
  <r>
    <n v="1190"/>
    <d v="2023-11-23T00:00:00"/>
    <x v="5"/>
    <s v="Winter Jacket"/>
    <n v="1199"/>
    <n v="5"/>
    <n v="5995"/>
    <n v="58"/>
    <s v="Male"/>
    <s v="Delhi"/>
    <s v="Referral"/>
    <s v="Credit Card"/>
    <n v="0.3"/>
    <s v="Yes"/>
    <s v="November"/>
  </r>
  <r>
    <n v="1191"/>
    <d v="2024-01-02T00:00:00"/>
    <x v="2"/>
    <s v="Smartphone"/>
    <n v="937"/>
    <n v="3"/>
    <n v="2811"/>
    <n v="23"/>
    <s v="Female"/>
    <s v="Lucknow"/>
    <s v="Instagram"/>
    <s v="PayPal"/>
    <n v="0.25"/>
    <s v="No"/>
    <s v="January"/>
  </r>
  <r>
    <n v="1192"/>
    <d v="2023-01-21T00:00:00"/>
    <x v="0"/>
    <s v="Board Game"/>
    <n v="1073"/>
    <n v="5"/>
    <n v="5365"/>
    <n v="53"/>
    <s v="Female"/>
    <s v="Lucknow"/>
    <s v="Facebook Ads"/>
    <s v="Debit Card"/>
    <n v="0.05"/>
    <s v="No"/>
    <s v="January"/>
  </r>
  <r>
    <n v="1193"/>
    <d v="2023-06-22T00:00:00"/>
    <x v="1"/>
    <s v="Curtains"/>
    <n v="456"/>
    <n v="1"/>
    <n v="456"/>
    <n v="41"/>
    <s v="Female"/>
    <s v="Kolkata"/>
    <s v="Facebook Ads"/>
    <s v="Debit Card"/>
    <n v="0.3"/>
    <s v="Yes"/>
    <s v="June"/>
  </r>
  <r>
    <n v="1194"/>
    <d v="2023-08-21T00:00:00"/>
    <x v="0"/>
    <s v="Lego Set"/>
    <n v="419"/>
    <n v="4"/>
    <n v="1676"/>
    <n v="50"/>
    <s v="Male"/>
    <s v="Ahmedabad"/>
    <s v="Referral"/>
    <s v="Debit Card"/>
    <n v="0.05"/>
    <s v="Yes"/>
    <s v="August"/>
  </r>
  <r>
    <n v="1195"/>
    <d v="2023-07-17T00:00:00"/>
    <x v="3"/>
    <s v="Bread"/>
    <n v="601"/>
    <n v="4"/>
    <n v="2404"/>
    <n v="44"/>
    <s v="Male"/>
    <s v="Hyderabad"/>
    <s v="Google Ads"/>
    <s v="Debit Card"/>
    <n v="0.1"/>
    <s v="Yes"/>
    <s v="July"/>
  </r>
  <r>
    <n v="1196"/>
    <d v="2023-09-24T00:00:00"/>
    <x v="2"/>
    <s v="Tablet"/>
    <n v="1350"/>
    <n v="4"/>
    <n v="5400"/>
    <n v="25"/>
    <s v="Male"/>
    <s v="Lucknow"/>
    <s v="Email Campaign"/>
    <s v="UPI"/>
    <n v="0.15"/>
    <s v="Yes"/>
    <s v="September"/>
  </r>
  <r>
    <n v="1197"/>
    <d v="2023-12-31T00:00:00"/>
    <x v="1"/>
    <s v="Carpet"/>
    <n v="511"/>
    <n v="4"/>
    <n v="2044"/>
    <n v="53"/>
    <s v="Female"/>
    <s v="Bangalore"/>
    <s v="Email Campaign"/>
    <s v="UPI"/>
    <n v="0.25"/>
    <s v="No"/>
    <s v="December"/>
  </r>
  <r>
    <n v="1198"/>
    <d v="2024-01-23T00:00:00"/>
    <x v="2"/>
    <s v="Headphones"/>
    <n v="776"/>
    <n v="1"/>
    <n v="776"/>
    <n v="18"/>
    <s v="Male"/>
    <s v="Chennai"/>
    <s v="Instagram"/>
    <s v="UPI"/>
    <n v="0.1"/>
    <s v="No"/>
    <s v="January"/>
  </r>
  <r>
    <n v="1199"/>
    <d v="2023-11-07T00:00:00"/>
    <x v="6"/>
    <s v="Sneakers"/>
    <n v="947"/>
    <n v="2"/>
    <n v="1894"/>
    <n v="40"/>
    <s v="Male"/>
    <s v="Lucknow"/>
    <s v="Google Ads"/>
    <s v="PayPal"/>
    <n v="0.2"/>
    <s v="Yes"/>
    <s v="November"/>
  </r>
  <r>
    <n v="1200"/>
    <d v="2023-11-12T00:00:00"/>
    <x v="0"/>
    <s v="Lego Set"/>
    <n v="464"/>
    <n v="1"/>
    <n v="464"/>
    <n v="60"/>
    <s v="Female"/>
    <s v="Ahmedabad"/>
    <s v="Organic Search"/>
    <s v="Cash on Delivery"/>
    <n v="0.25"/>
    <s v="Yes"/>
    <s v="November"/>
  </r>
  <r>
    <n v="1201"/>
    <d v="2023-04-03T00:00:00"/>
    <x v="4"/>
    <s v="Football"/>
    <n v="547"/>
    <n v="1"/>
    <n v="547"/>
    <n v="25"/>
    <s v="Male"/>
    <s v="Lucknow"/>
    <s v="Instagram"/>
    <s v="Credit Card"/>
    <n v="0.2"/>
    <s v="Yes"/>
    <s v="April"/>
  </r>
  <r>
    <n v="1202"/>
    <d v="2023-01-17T00:00:00"/>
    <x v="2"/>
    <s v="Tablet"/>
    <n v="871"/>
    <n v="1"/>
    <n v="871"/>
    <n v="51"/>
    <s v="Female"/>
    <s v="Delhi"/>
    <s v="Email Campaign"/>
    <s v="UPI"/>
    <n v="0.05"/>
    <s v="Yes"/>
    <s v="January"/>
  </r>
  <r>
    <n v="1203"/>
    <d v="2023-01-11T00:00:00"/>
    <x v="6"/>
    <s v="Sandals"/>
    <n v="960"/>
    <n v="2"/>
    <n v="1920"/>
    <n v="34"/>
    <s v="Female"/>
    <s v="Bangalore"/>
    <s v="Referral"/>
    <s v="UPI"/>
    <n v="0.15"/>
    <s v="Yes"/>
    <s v="January"/>
  </r>
  <r>
    <n v="1204"/>
    <d v="2023-02-27T00:00:00"/>
    <x v="4"/>
    <s v="Tennis Racket"/>
    <n v="360"/>
    <n v="2"/>
    <n v="720"/>
    <n v="23"/>
    <s v="Female"/>
    <s v="Mumbai"/>
    <s v="Referral"/>
    <s v="Cash on Delivery"/>
    <n v="0.15"/>
    <s v="Yes"/>
    <s v="February"/>
  </r>
  <r>
    <n v="1205"/>
    <d v="2023-05-05T00:00:00"/>
    <x v="3"/>
    <s v="Milk"/>
    <n v="543"/>
    <n v="1"/>
    <n v="543"/>
    <n v="33"/>
    <s v="Male"/>
    <s v="Hyderabad"/>
    <s v="Facebook Ads"/>
    <s v="Cash on Delivery"/>
    <n v="0.25"/>
    <s v="Yes"/>
    <s v="May"/>
  </r>
  <r>
    <n v="1206"/>
    <d v="2023-05-19T00:00:00"/>
    <x v="5"/>
    <s v="Winter Jacket"/>
    <n v="1443"/>
    <n v="2"/>
    <n v="2886"/>
    <n v="59"/>
    <s v="Male"/>
    <s v="Kolkata"/>
    <s v="Facebook Ads"/>
    <s v="Credit Card"/>
    <n v="0.05"/>
    <s v="No"/>
    <s v="May"/>
  </r>
  <r>
    <n v="1207"/>
    <d v="2023-11-17T00:00:00"/>
    <x v="0"/>
    <s v="Lego Set"/>
    <n v="926"/>
    <n v="4"/>
    <n v="3704"/>
    <n v="49"/>
    <s v="Male"/>
    <s v="Ahmedabad"/>
    <s v="Facebook Ads"/>
    <s v="PayPal"/>
    <n v="0.3"/>
    <s v="Yes"/>
    <s v="November"/>
  </r>
  <r>
    <n v="1208"/>
    <d v="2023-12-03T00:00:00"/>
    <x v="2"/>
    <s v="Smartwatch"/>
    <n v="653"/>
    <n v="2"/>
    <n v="1306"/>
    <n v="20"/>
    <s v="Female"/>
    <s v="Chennai"/>
    <s v="Instagram"/>
    <s v="UPI"/>
    <n v="0.1"/>
    <s v="No"/>
    <s v="December"/>
  </r>
  <r>
    <n v="1209"/>
    <d v="2023-02-07T00:00:00"/>
    <x v="6"/>
    <s v="Formal Shoes"/>
    <n v="1367"/>
    <n v="4"/>
    <n v="5468"/>
    <n v="30"/>
    <s v="Male"/>
    <s v="Mumbai"/>
    <s v="Google Ads"/>
    <s v="Cash on Delivery"/>
    <n v="0.1"/>
    <s v="Yes"/>
    <s v="February"/>
  </r>
  <r>
    <n v="1210"/>
    <d v="2023-12-09T00:00:00"/>
    <x v="2"/>
    <s v="Smartwatch"/>
    <n v="1107"/>
    <n v="1"/>
    <n v="1107"/>
    <n v="53"/>
    <s v="Male"/>
    <s v="Kolkata"/>
    <s v="Organic Search"/>
    <s v="PayPal"/>
    <n v="0.15"/>
    <s v="No"/>
    <s v="December"/>
  </r>
  <r>
    <n v="1211"/>
    <d v="2023-02-17T00:00:00"/>
    <x v="1"/>
    <s v="Wall Art"/>
    <n v="426"/>
    <n v="4"/>
    <n v="1704"/>
    <n v="24"/>
    <s v="Female"/>
    <s v="Pune"/>
    <s v="Organic Search"/>
    <s v="UPI"/>
    <n v="0.3"/>
    <s v="No"/>
    <s v="February"/>
  </r>
  <r>
    <n v="1212"/>
    <d v="2023-12-16T00:00:00"/>
    <x v="0"/>
    <s v="Board Game"/>
    <n v="454"/>
    <n v="5"/>
    <n v="2270"/>
    <n v="54"/>
    <s v="Female"/>
    <s v="Mumbai"/>
    <s v="Instagram"/>
    <s v="UPI"/>
    <n v="0.1"/>
    <s v="No"/>
    <s v="December"/>
  </r>
  <r>
    <n v="1213"/>
    <d v="2023-07-09T00:00:00"/>
    <x v="3"/>
    <s v="Milk"/>
    <n v="165"/>
    <n v="2"/>
    <n v="330"/>
    <n v="33"/>
    <s v="Male"/>
    <s v="Kolkata"/>
    <s v="Instagram"/>
    <s v="Credit Card"/>
    <n v="0.1"/>
    <s v="Yes"/>
    <s v="July"/>
  </r>
  <r>
    <n v="1214"/>
    <d v="2023-03-18T00:00:00"/>
    <x v="2"/>
    <s v="Smartphone"/>
    <n v="985"/>
    <n v="3"/>
    <n v="2955"/>
    <n v="21"/>
    <s v="Male"/>
    <s v="Hyderabad"/>
    <s v="Referral"/>
    <s v="UPI"/>
    <n v="0.05"/>
    <s v="No"/>
    <s v="March"/>
  </r>
  <r>
    <n v="1215"/>
    <d v="2023-01-15T00:00:00"/>
    <x v="2"/>
    <s v="Smartwatch"/>
    <n v="487"/>
    <n v="5"/>
    <n v="2435"/>
    <n v="33"/>
    <s v="Male"/>
    <s v="Jaipur"/>
    <s v="Organic Search"/>
    <s v="Credit Card"/>
    <n v="0.2"/>
    <s v="Yes"/>
    <s v="January"/>
  </r>
  <r>
    <n v="1216"/>
    <d v="2024-01-08T00:00:00"/>
    <x v="1"/>
    <s v="Curtains"/>
    <n v="283"/>
    <n v="4"/>
    <n v="1132"/>
    <n v="32"/>
    <s v="Male"/>
    <s v="Ahmedabad"/>
    <s v="Google Ads"/>
    <s v="Debit Card"/>
    <n v="0.15"/>
    <s v="Yes"/>
    <s v="January"/>
  </r>
  <r>
    <n v="1217"/>
    <d v="2023-08-10T00:00:00"/>
    <x v="5"/>
    <s v="Jeans"/>
    <n v="752"/>
    <n v="5"/>
    <n v="3760"/>
    <n v="35"/>
    <s v="Male"/>
    <s v="Mumbai"/>
    <s v="Referral"/>
    <s v="UPI"/>
    <n v="0.1"/>
    <s v="No"/>
    <s v="August"/>
  </r>
  <r>
    <n v="1218"/>
    <d v="2023-03-14T00:00:00"/>
    <x v="4"/>
    <s v="Tennis Racket"/>
    <n v="761"/>
    <n v="3"/>
    <n v="2283"/>
    <n v="41"/>
    <s v="Male"/>
    <s v="Chennai"/>
    <s v="Facebook Ads"/>
    <s v="Cash on Delivery"/>
    <n v="0.2"/>
    <s v="No"/>
    <s v="March"/>
  </r>
  <r>
    <n v="1219"/>
    <d v="2023-11-09T00:00:00"/>
    <x v="6"/>
    <s v="Formal Shoes"/>
    <n v="1306"/>
    <n v="4"/>
    <n v="5224"/>
    <n v="44"/>
    <s v="Male"/>
    <s v="Lucknow"/>
    <s v="Organic Search"/>
    <s v="Cash on Delivery"/>
    <n v="0.2"/>
    <s v="No"/>
    <s v="November"/>
  </r>
  <r>
    <n v="1220"/>
    <d v="2023-04-25T00:00:00"/>
    <x v="6"/>
    <s v="Formal Shoes"/>
    <n v="991"/>
    <n v="3"/>
    <n v="2973"/>
    <n v="41"/>
    <s v="Male"/>
    <s v="Pune"/>
    <s v="Email Campaign"/>
    <s v="Debit Card"/>
    <n v="0.2"/>
    <s v="No"/>
    <s v="April"/>
  </r>
  <r>
    <n v="1221"/>
    <d v="2023-07-12T00:00:00"/>
    <x v="6"/>
    <s v="Sandals"/>
    <n v="484"/>
    <n v="1"/>
    <n v="484"/>
    <n v="43"/>
    <s v="Female"/>
    <s v="Mumbai"/>
    <s v="Instagram"/>
    <s v="Cash on Delivery"/>
    <n v="0.25"/>
    <s v="No"/>
    <s v="July"/>
  </r>
  <r>
    <n v="1222"/>
    <d v="2023-06-04T00:00:00"/>
    <x v="3"/>
    <s v="Coffee"/>
    <n v="1393"/>
    <n v="2"/>
    <n v="2786"/>
    <n v="45"/>
    <s v="Male"/>
    <s v="Mumbai"/>
    <s v="Google Ads"/>
    <s v="Debit Card"/>
    <n v="0.15"/>
    <s v="Yes"/>
    <s v="June"/>
  </r>
  <r>
    <n v="1223"/>
    <d v="2023-06-13T00:00:00"/>
    <x v="6"/>
    <s v="Formal Shoes"/>
    <n v="423"/>
    <n v="2"/>
    <n v="846"/>
    <n v="42"/>
    <s v="Male"/>
    <s v="Lucknow"/>
    <s v="Instagram"/>
    <s v="Debit Card"/>
    <n v="0.15"/>
    <s v="No"/>
    <s v="June"/>
  </r>
  <r>
    <n v="1224"/>
    <d v="2023-09-22T00:00:00"/>
    <x v="2"/>
    <s v="Headphones"/>
    <n v="1024"/>
    <n v="4"/>
    <n v="4096"/>
    <n v="44"/>
    <s v="Male"/>
    <s v="Hyderabad"/>
    <s v="Instagram"/>
    <s v="Debit Card"/>
    <n v="0.15"/>
    <s v="No"/>
    <s v="September"/>
  </r>
  <r>
    <n v="1225"/>
    <d v="2023-01-27T00:00:00"/>
    <x v="0"/>
    <s v="Remote Car"/>
    <n v="259"/>
    <n v="4"/>
    <n v="1036"/>
    <n v="55"/>
    <s v="Male"/>
    <s v="Pune"/>
    <s v="Referral"/>
    <s v="Credit Card"/>
    <n v="0.05"/>
    <s v="Yes"/>
    <s v="January"/>
  </r>
  <r>
    <n v="1226"/>
    <d v="2023-05-10T00:00:00"/>
    <x v="3"/>
    <s v="Cereal Pack"/>
    <n v="1491"/>
    <n v="1"/>
    <n v="1491"/>
    <n v="56"/>
    <s v="Male"/>
    <s v="Delhi"/>
    <s v="Email Campaign"/>
    <s v="Credit Card"/>
    <n v="0.15"/>
    <s v="No"/>
    <s v="May"/>
  </r>
  <r>
    <n v="1227"/>
    <d v="2023-09-01T00:00:00"/>
    <x v="4"/>
    <s v="Skipping Rope"/>
    <n v="1414"/>
    <n v="1"/>
    <n v="1414"/>
    <n v="46"/>
    <s v="Female"/>
    <s v="Jaipur"/>
    <s v="Google Ads"/>
    <s v="Debit Card"/>
    <n v="0.1"/>
    <s v="No"/>
    <s v="September"/>
  </r>
  <r>
    <n v="1228"/>
    <d v="2023-03-02T00:00:00"/>
    <x v="2"/>
    <s v="Laptop"/>
    <n v="965"/>
    <n v="5"/>
    <n v="4825"/>
    <n v="34"/>
    <s v="Male"/>
    <s v="Mumbai"/>
    <s v="Google Ads"/>
    <s v="Credit Card"/>
    <n v="0.25"/>
    <s v="No"/>
    <s v="March"/>
  </r>
  <r>
    <n v="1229"/>
    <d v="2024-01-04T00:00:00"/>
    <x v="5"/>
    <s v="Winter Jacket"/>
    <n v="1356"/>
    <n v="2"/>
    <n v="2712"/>
    <n v="33"/>
    <s v="Female"/>
    <s v="Delhi"/>
    <s v="Organic Search"/>
    <s v="Cash on Delivery"/>
    <n v="0.1"/>
    <s v="No"/>
    <s v="January"/>
  </r>
  <r>
    <n v="1230"/>
    <d v="2023-12-09T00:00:00"/>
    <x v="1"/>
    <s v="Curtains"/>
    <n v="806"/>
    <n v="2"/>
    <n v="1612"/>
    <n v="48"/>
    <s v="Female"/>
    <s v="Pune"/>
    <s v="Google Ads"/>
    <s v="Credit Card"/>
    <n v="0.25"/>
    <s v="No"/>
    <s v="December"/>
  </r>
  <r>
    <n v="1231"/>
    <d v="2023-06-02T00:00:00"/>
    <x v="5"/>
    <s v="Winter Jacket"/>
    <n v="527"/>
    <n v="3"/>
    <n v="1581"/>
    <n v="57"/>
    <s v="Male"/>
    <s v="Bangalore"/>
    <s v="Organic Search"/>
    <s v="Cash on Delivery"/>
    <n v="0.1"/>
    <s v="Yes"/>
    <s v="June"/>
  </r>
  <r>
    <n v="1232"/>
    <d v="2024-02-01T00:00:00"/>
    <x v="3"/>
    <s v="Milk"/>
    <n v="865"/>
    <n v="1"/>
    <n v="865"/>
    <n v="54"/>
    <s v="Male"/>
    <s v="Bangalore"/>
    <s v="Google Ads"/>
    <s v="Cash on Delivery"/>
    <n v="0.1"/>
    <s v="No"/>
    <s v="February"/>
  </r>
  <r>
    <n v="1233"/>
    <d v="2023-09-12T00:00:00"/>
    <x v="2"/>
    <s v="Smartwatch"/>
    <n v="1051"/>
    <n v="1"/>
    <n v="1051"/>
    <n v="28"/>
    <s v="Female"/>
    <s v="Chennai"/>
    <s v="Facebook Ads"/>
    <s v="PayPal"/>
    <n v="0.15"/>
    <s v="No"/>
    <s v="September"/>
  </r>
  <r>
    <n v="1234"/>
    <d v="2023-03-05T00:00:00"/>
    <x v="6"/>
    <s v="Boots"/>
    <n v="1144"/>
    <n v="3"/>
    <n v="3432"/>
    <n v="27"/>
    <s v="Female"/>
    <s v="Jaipur"/>
    <s v="Facebook Ads"/>
    <s v="Cash on Delivery"/>
    <n v="0.2"/>
    <s v="Yes"/>
    <s v="March"/>
  </r>
  <r>
    <n v="1235"/>
    <d v="2023-08-06T00:00:00"/>
    <x v="5"/>
    <s v="Sweater"/>
    <n v="1160"/>
    <n v="4"/>
    <n v="4640"/>
    <n v="44"/>
    <s v="Female"/>
    <s v="Kolkata"/>
    <s v="Google Ads"/>
    <s v="PayPal"/>
    <n v="0.1"/>
    <s v="No"/>
    <s v="August"/>
  </r>
  <r>
    <n v="1236"/>
    <d v="2023-04-08T00:00:00"/>
    <x v="3"/>
    <s v="Organic Vegetables"/>
    <n v="483"/>
    <n v="1"/>
    <n v="483"/>
    <n v="40"/>
    <s v="Female"/>
    <s v="Chennai"/>
    <s v="Facebook Ads"/>
    <s v="Debit Card"/>
    <n v="0.1"/>
    <s v="No"/>
    <s v="April"/>
  </r>
  <r>
    <n v="1237"/>
    <d v="2023-09-27T00:00:00"/>
    <x v="3"/>
    <s v="Milk"/>
    <n v="962"/>
    <n v="3"/>
    <n v="2886"/>
    <n v="43"/>
    <s v="Female"/>
    <s v="Bangalore"/>
    <s v="Organic Search"/>
    <s v="Credit Card"/>
    <n v="0.1"/>
    <s v="No"/>
    <s v="September"/>
  </r>
  <r>
    <n v="1238"/>
    <d v="2023-02-28T00:00:00"/>
    <x v="5"/>
    <s v="Sweater"/>
    <n v="80"/>
    <n v="1"/>
    <n v="80"/>
    <n v="28"/>
    <s v="Male"/>
    <s v="Hyderabad"/>
    <s v="Email Campaign"/>
    <s v="Credit Card"/>
    <n v="0.25"/>
    <s v="No"/>
    <s v="February"/>
  </r>
  <r>
    <n v="1239"/>
    <d v="2023-09-11T00:00:00"/>
    <x v="2"/>
    <s v="Tablet"/>
    <n v="837"/>
    <n v="2"/>
    <n v="1674"/>
    <n v="59"/>
    <s v="Male"/>
    <s v="Chennai"/>
    <s v="Facebook Ads"/>
    <s v="Debit Card"/>
    <n v="0.25"/>
    <s v="No"/>
    <s v="September"/>
  </r>
  <r>
    <n v="1240"/>
    <d v="2023-07-27T00:00:00"/>
    <x v="6"/>
    <s v="Boots"/>
    <n v="209"/>
    <n v="1"/>
    <n v="209"/>
    <n v="27"/>
    <s v="Female"/>
    <s v="Hyderabad"/>
    <s v="Referral"/>
    <s v="PayPal"/>
    <n v="0.3"/>
    <s v="Yes"/>
    <s v="July"/>
  </r>
  <r>
    <n v="1241"/>
    <d v="2023-05-11T00:00:00"/>
    <x v="5"/>
    <s v="Sweater"/>
    <n v="586"/>
    <n v="3"/>
    <n v="1758"/>
    <n v="41"/>
    <s v="Female"/>
    <s v="Kolkata"/>
    <s v="Organic Search"/>
    <s v="Credit Card"/>
    <n v="0.25"/>
    <s v="No"/>
    <s v="May"/>
  </r>
  <r>
    <n v="1242"/>
    <d v="2024-01-25T00:00:00"/>
    <x v="0"/>
    <s v="Dollhouse"/>
    <n v="1080"/>
    <n v="3"/>
    <n v="3240"/>
    <n v="51"/>
    <s v="Female"/>
    <s v="Jaipur"/>
    <s v="Instagram"/>
    <s v="Debit Card"/>
    <n v="0.2"/>
    <s v="No"/>
    <s v="January"/>
  </r>
  <r>
    <n v="1243"/>
    <d v="2023-09-16T00:00:00"/>
    <x v="0"/>
    <s v="Remote Car"/>
    <n v="1201"/>
    <n v="3"/>
    <n v="3603"/>
    <n v="27"/>
    <s v="Female"/>
    <s v="Ahmedabad"/>
    <s v="Google Ads"/>
    <s v="Credit Card"/>
    <n v="0.2"/>
    <s v="Yes"/>
    <s v="September"/>
  </r>
  <r>
    <n v="1244"/>
    <d v="2023-03-06T00:00:00"/>
    <x v="6"/>
    <s v="Formal Shoes"/>
    <n v="630"/>
    <n v="1"/>
    <n v="630"/>
    <n v="42"/>
    <s v="Female"/>
    <s v="Hyderabad"/>
    <s v="Google Ads"/>
    <s v="PayPal"/>
    <n v="0.05"/>
    <s v="Yes"/>
    <s v="March"/>
  </r>
  <r>
    <n v="1245"/>
    <d v="2023-06-15T00:00:00"/>
    <x v="0"/>
    <s v="Lego Set"/>
    <n v="1245"/>
    <n v="4"/>
    <n v="4980"/>
    <n v="49"/>
    <s v="Female"/>
    <s v="Lucknow"/>
    <s v="Google Ads"/>
    <s v="Cash on Delivery"/>
    <n v="0.1"/>
    <s v="Yes"/>
    <s v="June"/>
  </r>
  <r>
    <n v="1246"/>
    <d v="2023-09-20T00:00:00"/>
    <x v="0"/>
    <s v="Puzzle"/>
    <n v="330"/>
    <n v="3"/>
    <n v="990"/>
    <n v="51"/>
    <s v="Female"/>
    <s v="Hyderabad"/>
    <s v="Referral"/>
    <s v="UPI"/>
    <n v="0.1"/>
    <s v="Yes"/>
    <s v="September"/>
  </r>
  <r>
    <n v="1247"/>
    <d v="2023-11-06T00:00:00"/>
    <x v="0"/>
    <s v="Board Game"/>
    <n v="682"/>
    <n v="4"/>
    <n v="2728"/>
    <n v="24"/>
    <s v="Male"/>
    <s v="Ahmedabad"/>
    <s v="Google Ads"/>
    <s v="Debit Card"/>
    <n v="0.25"/>
    <s v="Yes"/>
    <s v="November"/>
  </r>
  <r>
    <n v="1248"/>
    <d v="2024-01-14T00:00:00"/>
    <x v="4"/>
    <s v="Basketball"/>
    <n v="992"/>
    <n v="4"/>
    <n v="3968"/>
    <n v="19"/>
    <s v="Female"/>
    <s v="Hyderabad"/>
    <s v="Facebook Ads"/>
    <s v="PayPal"/>
    <n v="0.25"/>
    <s v="Yes"/>
    <s v="January"/>
  </r>
  <r>
    <n v="1249"/>
    <d v="2023-06-17T00:00:00"/>
    <x v="0"/>
    <s v="Puzzle"/>
    <n v="839"/>
    <n v="4"/>
    <n v="3356"/>
    <n v="50"/>
    <s v="Female"/>
    <s v="Bangalore"/>
    <s v="Email Campaign"/>
    <s v="PayPal"/>
    <n v="0.2"/>
    <s v="No"/>
    <s v="June"/>
  </r>
  <r>
    <n v="1250"/>
    <d v="2023-04-29T00:00:00"/>
    <x v="2"/>
    <s v="Smartwatch"/>
    <n v="436"/>
    <n v="2"/>
    <n v="872"/>
    <n v="26"/>
    <s v="Male"/>
    <s v="Jaipur"/>
    <s v="Organic Search"/>
    <s v="Credit Card"/>
    <n v="0.3"/>
    <s v="Yes"/>
    <s v="April"/>
  </r>
  <r>
    <n v="1251"/>
    <d v="2023-10-10T00:00:00"/>
    <x v="4"/>
    <s v="Tennis Racket"/>
    <n v="896"/>
    <n v="3"/>
    <n v="2688"/>
    <n v="38"/>
    <s v="Male"/>
    <s v="Pune"/>
    <s v="Email Campaign"/>
    <s v="Cash on Delivery"/>
    <n v="0.1"/>
    <s v="No"/>
    <s v="October"/>
  </r>
  <r>
    <n v="1252"/>
    <d v="2023-05-29T00:00:00"/>
    <x v="4"/>
    <s v="Yoga Mat"/>
    <n v="651"/>
    <n v="3"/>
    <n v="1953"/>
    <n v="53"/>
    <s v="Male"/>
    <s v="Mumbai"/>
    <s v="Referral"/>
    <s v="PayPal"/>
    <n v="0.15"/>
    <s v="Yes"/>
    <s v="May"/>
  </r>
  <r>
    <n v="1253"/>
    <d v="2023-11-18T00:00:00"/>
    <x v="5"/>
    <s v="T-shirt"/>
    <n v="119"/>
    <n v="1"/>
    <n v="119"/>
    <n v="49"/>
    <s v="Female"/>
    <s v="Delhi"/>
    <s v="Email Campaign"/>
    <s v="Credit Card"/>
    <n v="0.05"/>
    <s v="No"/>
    <s v="November"/>
  </r>
  <r>
    <n v="1254"/>
    <d v="2023-08-26T00:00:00"/>
    <x v="3"/>
    <s v="Bread"/>
    <n v="916"/>
    <n v="1"/>
    <n v="916"/>
    <n v="54"/>
    <s v="Male"/>
    <s v="Bangalore"/>
    <s v="Referral"/>
    <s v="PayPal"/>
    <n v="0.05"/>
    <s v="Yes"/>
    <s v="August"/>
  </r>
  <r>
    <n v="1255"/>
    <d v="2023-08-26T00:00:00"/>
    <x v="3"/>
    <s v="Organic Vegetables"/>
    <n v="456"/>
    <n v="3"/>
    <n v="1368"/>
    <n v="45"/>
    <s v="Male"/>
    <s v="Bangalore"/>
    <s v="Facebook Ads"/>
    <s v="Credit Card"/>
    <n v="0.25"/>
    <s v="No"/>
    <s v="August"/>
  </r>
  <r>
    <n v="1256"/>
    <d v="2023-08-18T00:00:00"/>
    <x v="4"/>
    <s v="Yoga Mat"/>
    <n v="740"/>
    <n v="3"/>
    <n v="2220"/>
    <n v="48"/>
    <s v="Male"/>
    <s v="Lucknow"/>
    <s v="Email Campaign"/>
    <s v="PayPal"/>
    <n v="0.25"/>
    <s v="No"/>
    <s v="August"/>
  </r>
  <r>
    <n v="1257"/>
    <d v="2024-01-10T00:00:00"/>
    <x v="5"/>
    <s v="T-shirt"/>
    <n v="905"/>
    <n v="2"/>
    <n v="1810"/>
    <n v="37"/>
    <s v="Male"/>
    <s v="Bangalore"/>
    <s v="Facebook Ads"/>
    <s v="Debit Card"/>
    <n v="0.05"/>
    <s v="Yes"/>
    <s v="January"/>
  </r>
  <r>
    <n v="1258"/>
    <d v="2023-08-21T00:00:00"/>
    <x v="4"/>
    <s v="Football"/>
    <n v="1130"/>
    <n v="2"/>
    <n v="2260"/>
    <n v="45"/>
    <s v="Female"/>
    <s v="Delhi"/>
    <s v="Facebook Ads"/>
    <s v="Cash on Delivery"/>
    <n v="0.3"/>
    <s v="Yes"/>
    <s v="August"/>
  </r>
  <r>
    <n v="1259"/>
    <d v="2024-02-05T00:00:00"/>
    <x v="6"/>
    <s v="Formal Shoes"/>
    <n v="1444"/>
    <n v="2"/>
    <n v="2888"/>
    <n v="19"/>
    <s v="Female"/>
    <s v="Jaipur"/>
    <s v="Facebook Ads"/>
    <s v="PayPal"/>
    <n v="0.15"/>
    <s v="Yes"/>
    <s v="February"/>
  </r>
  <r>
    <n v="1260"/>
    <d v="2023-10-03T00:00:00"/>
    <x v="0"/>
    <s v="Dollhouse"/>
    <n v="773"/>
    <n v="1"/>
    <n v="773"/>
    <n v="52"/>
    <s v="Male"/>
    <s v="Hyderabad"/>
    <s v="Facebook Ads"/>
    <s v="Cash on Delivery"/>
    <n v="0.05"/>
    <s v="Yes"/>
    <s v="October"/>
  </r>
  <r>
    <n v="1261"/>
    <d v="2023-02-21T00:00:00"/>
    <x v="3"/>
    <s v="Cereal Pack"/>
    <n v="133"/>
    <n v="2"/>
    <n v="266"/>
    <n v="39"/>
    <s v="Male"/>
    <s v="Chennai"/>
    <s v="Referral"/>
    <s v="Credit Card"/>
    <n v="0.3"/>
    <s v="Yes"/>
    <s v="February"/>
  </r>
  <r>
    <n v="1262"/>
    <d v="2023-08-08T00:00:00"/>
    <x v="5"/>
    <s v="Winter Jacket"/>
    <n v="1098"/>
    <n v="3"/>
    <n v="3294"/>
    <n v="30"/>
    <s v="Male"/>
    <s v="Mumbai"/>
    <s v="Organic Search"/>
    <s v="Debit Card"/>
    <n v="0.05"/>
    <s v="No"/>
    <s v="August"/>
  </r>
  <r>
    <n v="1263"/>
    <d v="2023-08-11T00:00:00"/>
    <x v="4"/>
    <s v="Skipping Rope"/>
    <n v="1102"/>
    <n v="1"/>
    <n v="1102"/>
    <n v="59"/>
    <s v="Male"/>
    <s v="Ahmedabad"/>
    <s v="Email Campaign"/>
    <s v="Credit Card"/>
    <n v="0.1"/>
    <s v="No"/>
    <s v="August"/>
  </r>
  <r>
    <n v="1264"/>
    <d v="2023-01-29T00:00:00"/>
    <x v="4"/>
    <s v="Skipping Rope"/>
    <n v="548"/>
    <n v="4"/>
    <n v="2192"/>
    <n v="55"/>
    <s v="Male"/>
    <s v="Kolkata"/>
    <s v="Google Ads"/>
    <s v="PayPal"/>
    <n v="0.25"/>
    <s v="Yes"/>
    <s v="January"/>
  </r>
  <r>
    <n v="1265"/>
    <d v="2023-04-05T00:00:00"/>
    <x v="1"/>
    <s v="Cushions"/>
    <n v="228"/>
    <n v="4"/>
    <n v="912"/>
    <n v="45"/>
    <s v="Female"/>
    <s v="Ahmedabad"/>
    <s v="Email Campaign"/>
    <s v="Cash on Delivery"/>
    <n v="0.2"/>
    <s v="No"/>
    <s v="April"/>
  </r>
  <r>
    <n v="1266"/>
    <d v="2023-09-11T00:00:00"/>
    <x v="1"/>
    <s v="Curtains"/>
    <n v="396"/>
    <n v="4"/>
    <n v="1584"/>
    <n v="40"/>
    <s v="Female"/>
    <s v="Lucknow"/>
    <s v="Facebook Ads"/>
    <s v="Cash on Delivery"/>
    <n v="0.3"/>
    <s v="Yes"/>
    <s v="September"/>
  </r>
  <r>
    <n v="1267"/>
    <d v="2023-11-09T00:00:00"/>
    <x v="1"/>
    <s v="Curtains"/>
    <n v="619"/>
    <n v="2"/>
    <n v="1238"/>
    <n v="34"/>
    <s v="Male"/>
    <s v="Delhi"/>
    <s v="Organic Search"/>
    <s v="UPI"/>
    <n v="0.3"/>
    <s v="Yes"/>
    <s v="November"/>
  </r>
  <r>
    <n v="1268"/>
    <d v="2023-10-05T00:00:00"/>
    <x v="6"/>
    <s v="Sneakers"/>
    <n v="745"/>
    <n v="4"/>
    <n v="2980"/>
    <n v="28"/>
    <s v="Female"/>
    <s v="Kolkata"/>
    <s v="Facebook Ads"/>
    <s v="PayPal"/>
    <n v="0.2"/>
    <s v="No"/>
    <s v="October"/>
  </r>
  <r>
    <n v="1269"/>
    <d v="2023-10-26T00:00:00"/>
    <x v="0"/>
    <s v="Dollhouse"/>
    <n v="346"/>
    <n v="3"/>
    <n v="1038"/>
    <n v="40"/>
    <s v="Female"/>
    <s v="Lucknow"/>
    <s v="Google Ads"/>
    <s v="Debit Card"/>
    <n v="0.25"/>
    <s v="Yes"/>
    <s v="October"/>
  </r>
  <r>
    <n v="1270"/>
    <d v="2023-12-29T00:00:00"/>
    <x v="0"/>
    <s v="Board Game"/>
    <n v="181"/>
    <n v="1"/>
    <n v="181"/>
    <n v="32"/>
    <s v="Female"/>
    <s v="Pune"/>
    <s v="Facebook Ads"/>
    <s v="Credit Card"/>
    <n v="0.25"/>
    <s v="Yes"/>
    <s v="December"/>
  </r>
  <r>
    <n v="1271"/>
    <d v="2024-01-11T00:00:00"/>
    <x v="3"/>
    <s v="Cereal Pack"/>
    <n v="746"/>
    <n v="4"/>
    <n v="2984"/>
    <n v="55"/>
    <s v="Female"/>
    <s v="Lucknow"/>
    <s v="Facebook Ads"/>
    <s v="UPI"/>
    <n v="0.25"/>
    <s v="No"/>
    <s v="January"/>
  </r>
  <r>
    <n v="1272"/>
    <d v="2023-04-06T00:00:00"/>
    <x v="5"/>
    <s v="Dress"/>
    <n v="1495"/>
    <n v="3"/>
    <n v="4485"/>
    <n v="49"/>
    <s v="Female"/>
    <s v="Delhi"/>
    <s v="Google Ads"/>
    <s v="Cash on Delivery"/>
    <n v="0.25"/>
    <s v="Yes"/>
    <s v="April"/>
  </r>
  <r>
    <n v="1273"/>
    <d v="2023-10-01T00:00:00"/>
    <x v="5"/>
    <s v="Dress"/>
    <n v="1474"/>
    <n v="3"/>
    <n v="4422"/>
    <n v="36"/>
    <s v="Male"/>
    <s v="Bangalore"/>
    <s v="Facebook Ads"/>
    <s v="UPI"/>
    <n v="0.05"/>
    <s v="Yes"/>
    <s v="October"/>
  </r>
  <r>
    <n v="1274"/>
    <d v="2023-10-29T00:00:00"/>
    <x v="0"/>
    <s v="Remote Car"/>
    <n v="1340"/>
    <n v="1"/>
    <n v="1340"/>
    <n v="30"/>
    <s v="Male"/>
    <s v="Pune"/>
    <s v="Organic Search"/>
    <s v="PayPal"/>
    <n v="0.3"/>
    <s v="No"/>
    <s v="October"/>
  </r>
  <r>
    <n v="1275"/>
    <d v="2023-01-25T00:00:00"/>
    <x v="4"/>
    <s v="Skipping Rope"/>
    <n v="390"/>
    <n v="2"/>
    <n v="780"/>
    <n v="45"/>
    <s v="Male"/>
    <s v="Pune"/>
    <s v="Google Ads"/>
    <s v="Cash on Delivery"/>
    <n v="0.2"/>
    <s v="No"/>
    <s v="January"/>
  </r>
  <r>
    <n v="1276"/>
    <d v="2023-10-25T00:00:00"/>
    <x v="5"/>
    <s v="T-shirt"/>
    <n v="824"/>
    <n v="1"/>
    <n v="824"/>
    <n v="50"/>
    <s v="Male"/>
    <s v="Delhi"/>
    <s v="Facebook Ads"/>
    <s v="Cash on Delivery"/>
    <n v="0.2"/>
    <s v="Yes"/>
    <s v="October"/>
  </r>
  <r>
    <n v="1277"/>
    <d v="2023-12-14T00:00:00"/>
    <x v="3"/>
    <s v="Milk"/>
    <n v="1088"/>
    <n v="3"/>
    <n v="3264"/>
    <n v="51"/>
    <s v="Female"/>
    <s v="Delhi"/>
    <s v="Referral"/>
    <s v="Cash on Delivery"/>
    <n v="0.15"/>
    <s v="No"/>
    <s v="December"/>
  </r>
  <r>
    <n v="1278"/>
    <d v="2023-11-11T00:00:00"/>
    <x v="5"/>
    <s v="T-shirt"/>
    <n v="158"/>
    <n v="1"/>
    <n v="158"/>
    <n v="19"/>
    <s v="Female"/>
    <s v="Jaipur"/>
    <s v="Email Campaign"/>
    <s v="PayPal"/>
    <n v="0.1"/>
    <s v="Yes"/>
    <s v="November"/>
  </r>
  <r>
    <n v="1279"/>
    <d v="2023-04-09T00:00:00"/>
    <x v="2"/>
    <s v="Headphones"/>
    <n v="568"/>
    <n v="2"/>
    <n v="1136"/>
    <n v="40"/>
    <s v="Male"/>
    <s v="Kolkata"/>
    <s v="Referral"/>
    <s v="Cash on Delivery"/>
    <n v="0.3"/>
    <s v="Yes"/>
    <s v="April"/>
  </r>
  <r>
    <n v="1280"/>
    <d v="2023-03-19T00:00:00"/>
    <x v="0"/>
    <s v="Remote Car"/>
    <n v="1274"/>
    <n v="2"/>
    <n v="2548"/>
    <n v="24"/>
    <s v="Female"/>
    <s v="Chennai"/>
    <s v="Facebook Ads"/>
    <s v="PayPal"/>
    <n v="0.1"/>
    <s v="No"/>
    <s v="March"/>
  </r>
  <r>
    <n v="1281"/>
    <d v="2023-02-18T00:00:00"/>
    <x v="4"/>
    <s v="Tennis Racket"/>
    <n v="683"/>
    <n v="4"/>
    <n v="2732"/>
    <n v="40"/>
    <s v="Female"/>
    <s v="Hyderabad"/>
    <s v="Google Ads"/>
    <s v="UPI"/>
    <n v="0.3"/>
    <s v="Yes"/>
    <s v="February"/>
  </r>
  <r>
    <n v="1282"/>
    <d v="2023-02-06T00:00:00"/>
    <x v="1"/>
    <s v="Table Lamp"/>
    <n v="1397"/>
    <n v="5"/>
    <n v="6985"/>
    <n v="36"/>
    <s v="Female"/>
    <s v="Jaipur"/>
    <s v="Instagram"/>
    <s v="PayPal"/>
    <n v="0.05"/>
    <s v="No"/>
    <s v="February"/>
  </r>
  <r>
    <n v="1283"/>
    <d v="2023-09-25T00:00:00"/>
    <x v="5"/>
    <s v="Sweater"/>
    <n v="840"/>
    <n v="5"/>
    <n v="4200"/>
    <n v="56"/>
    <s v="Male"/>
    <s v="Chennai"/>
    <s v="Instagram"/>
    <s v="UPI"/>
    <n v="0.25"/>
    <s v="Yes"/>
    <s v="September"/>
  </r>
  <r>
    <n v="1284"/>
    <d v="2023-06-21T00:00:00"/>
    <x v="1"/>
    <s v="Wall Art"/>
    <n v="1460"/>
    <n v="3"/>
    <n v="4380"/>
    <n v="54"/>
    <s v="Female"/>
    <s v="Hyderabad"/>
    <s v="Referral"/>
    <s v="Debit Card"/>
    <n v="0.15"/>
    <s v="Yes"/>
    <s v="June"/>
  </r>
  <r>
    <n v="1285"/>
    <d v="2024-02-03T00:00:00"/>
    <x v="1"/>
    <s v="Curtains"/>
    <n v="510"/>
    <n v="4"/>
    <n v="2040"/>
    <n v="47"/>
    <s v="Female"/>
    <s v="Kolkata"/>
    <s v="Facebook Ads"/>
    <s v="UPI"/>
    <n v="0.05"/>
    <s v="Yes"/>
    <s v="February"/>
  </r>
  <r>
    <n v="1286"/>
    <d v="2023-09-14T00:00:00"/>
    <x v="4"/>
    <s v="Football"/>
    <n v="1049"/>
    <n v="4"/>
    <n v="4196"/>
    <n v="37"/>
    <s v="Female"/>
    <s v="Kolkata"/>
    <s v="Organic Search"/>
    <s v="Credit Card"/>
    <n v="0.15"/>
    <s v="Yes"/>
    <s v="September"/>
  </r>
  <r>
    <n v="1287"/>
    <d v="2023-08-11T00:00:00"/>
    <x v="0"/>
    <s v="Remote Car"/>
    <n v="894"/>
    <n v="4"/>
    <n v="3576"/>
    <n v="33"/>
    <s v="Female"/>
    <s v="Lucknow"/>
    <s v="Email Campaign"/>
    <s v="Cash on Delivery"/>
    <n v="0.25"/>
    <s v="No"/>
    <s v="August"/>
  </r>
  <r>
    <n v="1288"/>
    <d v="2023-12-07T00:00:00"/>
    <x v="5"/>
    <s v="T-shirt"/>
    <n v="813"/>
    <n v="3"/>
    <n v="2439"/>
    <n v="21"/>
    <s v="Male"/>
    <s v="Ahmedabad"/>
    <s v="Facebook Ads"/>
    <s v="Credit Card"/>
    <n v="0.2"/>
    <s v="Yes"/>
    <s v="December"/>
  </r>
  <r>
    <n v="1289"/>
    <d v="2023-10-25T00:00:00"/>
    <x v="3"/>
    <s v="Milk"/>
    <n v="57"/>
    <n v="3"/>
    <n v="171"/>
    <n v="46"/>
    <s v="Female"/>
    <s v="Jaipur"/>
    <s v="Email Campaign"/>
    <s v="PayPal"/>
    <n v="0.15"/>
    <s v="Yes"/>
    <s v="October"/>
  </r>
  <r>
    <n v="1290"/>
    <d v="2023-04-19T00:00:00"/>
    <x v="5"/>
    <s v="T-shirt"/>
    <n v="987"/>
    <n v="5"/>
    <n v="4935"/>
    <n v="29"/>
    <s v="Male"/>
    <s v="Jaipur"/>
    <s v="Facebook Ads"/>
    <s v="UPI"/>
    <n v="0.2"/>
    <s v="Yes"/>
    <s v="April"/>
  </r>
  <r>
    <n v="1291"/>
    <d v="2023-03-18T00:00:00"/>
    <x v="0"/>
    <s v="Board Game"/>
    <n v="1447"/>
    <n v="2"/>
    <n v="2894"/>
    <n v="49"/>
    <s v="Female"/>
    <s v="Mumbai"/>
    <s v="Email Campaign"/>
    <s v="PayPal"/>
    <n v="0.1"/>
    <s v="No"/>
    <s v="March"/>
  </r>
  <r>
    <n v="1292"/>
    <d v="2023-12-03T00:00:00"/>
    <x v="4"/>
    <s v="Tennis Racket"/>
    <n v="62"/>
    <n v="3"/>
    <n v="186"/>
    <n v="39"/>
    <s v="Male"/>
    <s v="Mumbai"/>
    <s v="Facebook Ads"/>
    <s v="Credit Card"/>
    <n v="0.1"/>
    <s v="Yes"/>
    <s v="December"/>
  </r>
  <r>
    <n v="1293"/>
    <d v="2023-05-10T00:00:00"/>
    <x v="0"/>
    <s v="Dollhouse"/>
    <n v="819"/>
    <n v="5"/>
    <n v="4095"/>
    <n v="47"/>
    <s v="Male"/>
    <s v="Chennai"/>
    <s v="Facebook Ads"/>
    <s v="Debit Card"/>
    <n v="0.1"/>
    <s v="Yes"/>
    <s v="May"/>
  </r>
  <r>
    <n v="1294"/>
    <d v="2023-01-13T00:00:00"/>
    <x v="4"/>
    <s v="Football"/>
    <n v="1498"/>
    <n v="2"/>
    <n v="2996"/>
    <n v="49"/>
    <s v="Male"/>
    <s v="Mumbai"/>
    <s v="Referral"/>
    <s v="Credit Card"/>
    <n v="0.25"/>
    <s v="Yes"/>
    <s v="January"/>
  </r>
  <r>
    <n v="1295"/>
    <d v="2023-06-29T00:00:00"/>
    <x v="0"/>
    <s v="Board Game"/>
    <n v="1288"/>
    <n v="5"/>
    <n v="6440"/>
    <n v="28"/>
    <s v="Female"/>
    <s v="Chennai"/>
    <s v="Instagram"/>
    <s v="UPI"/>
    <n v="0.2"/>
    <s v="Yes"/>
    <s v="June"/>
  </r>
  <r>
    <n v="1296"/>
    <d v="2023-05-18T00:00:00"/>
    <x v="6"/>
    <s v="Running Shoes"/>
    <n v="1309"/>
    <n v="4"/>
    <n v="5236"/>
    <n v="33"/>
    <s v="Female"/>
    <s v="Mumbai"/>
    <s v="Facebook Ads"/>
    <s v="Credit Card"/>
    <n v="0.25"/>
    <s v="No"/>
    <s v="May"/>
  </r>
  <r>
    <n v="1297"/>
    <d v="2023-09-01T00:00:00"/>
    <x v="1"/>
    <s v="Carpet"/>
    <n v="1031"/>
    <n v="3"/>
    <n v="3093"/>
    <n v="24"/>
    <s v="Male"/>
    <s v="Jaipur"/>
    <s v="Organic Search"/>
    <s v="Credit Card"/>
    <n v="0.25"/>
    <s v="Yes"/>
    <s v="September"/>
  </r>
  <r>
    <n v="1298"/>
    <d v="2023-07-11T00:00:00"/>
    <x v="5"/>
    <s v="Jeans"/>
    <n v="678"/>
    <n v="2"/>
    <n v="1356"/>
    <n v="33"/>
    <s v="Male"/>
    <s v="Mumbai"/>
    <s v="Organic Search"/>
    <s v="Credit Card"/>
    <n v="0.15"/>
    <s v="Yes"/>
    <s v="July"/>
  </r>
  <r>
    <n v="1299"/>
    <d v="2023-11-15T00:00:00"/>
    <x v="0"/>
    <s v="Lego Set"/>
    <n v="1135"/>
    <n v="5"/>
    <n v="5675"/>
    <n v="50"/>
    <s v="Male"/>
    <s v="Lucknow"/>
    <s v="Google Ads"/>
    <s v="Credit Card"/>
    <n v="0.2"/>
    <s v="Yes"/>
    <s v="November"/>
  </r>
  <r>
    <n v="1300"/>
    <d v="2023-11-03T00:00:00"/>
    <x v="4"/>
    <s v="Skipping Rope"/>
    <n v="1307"/>
    <n v="1"/>
    <n v="1307"/>
    <n v="26"/>
    <s v="Male"/>
    <s v="Mumbai"/>
    <s v="Referral"/>
    <s v="PayPal"/>
    <n v="0.3"/>
    <s v="No"/>
    <s v="November"/>
  </r>
  <r>
    <n v="1301"/>
    <d v="2023-12-11T00:00:00"/>
    <x v="4"/>
    <s v="Basketball"/>
    <n v="1132"/>
    <n v="1"/>
    <n v="1132"/>
    <n v="44"/>
    <s v="Male"/>
    <s v="Kolkata"/>
    <s v="Google Ads"/>
    <s v="UPI"/>
    <n v="0.15"/>
    <s v="Yes"/>
    <s v="December"/>
  </r>
  <r>
    <n v="1302"/>
    <d v="2023-07-19T00:00:00"/>
    <x v="5"/>
    <s v="Dress"/>
    <n v="259"/>
    <n v="4"/>
    <n v="1036"/>
    <n v="35"/>
    <s v="Female"/>
    <s v="Jaipur"/>
    <s v="Google Ads"/>
    <s v="UPI"/>
    <n v="0.3"/>
    <s v="Yes"/>
    <s v="July"/>
  </r>
  <r>
    <n v="1303"/>
    <d v="2023-07-31T00:00:00"/>
    <x v="0"/>
    <s v="Board Game"/>
    <n v="280"/>
    <n v="3"/>
    <n v="840"/>
    <n v="41"/>
    <s v="Male"/>
    <s v="Jaipur"/>
    <s v="Instagram"/>
    <s v="Debit Card"/>
    <n v="0.05"/>
    <s v="Yes"/>
    <s v="July"/>
  </r>
  <r>
    <n v="1304"/>
    <d v="2023-03-19T00:00:00"/>
    <x v="4"/>
    <s v="Basketball"/>
    <n v="233"/>
    <n v="5"/>
    <n v="1165"/>
    <n v="42"/>
    <s v="Female"/>
    <s v="Lucknow"/>
    <s v="Instagram"/>
    <s v="PayPal"/>
    <n v="0.3"/>
    <s v="Yes"/>
    <s v="March"/>
  </r>
  <r>
    <n v="1305"/>
    <d v="2023-07-27T00:00:00"/>
    <x v="2"/>
    <s v="Tablet"/>
    <n v="429"/>
    <n v="1"/>
    <n v="429"/>
    <n v="36"/>
    <s v="Female"/>
    <s v="Bangalore"/>
    <s v="Email Campaign"/>
    <s v="Debit Card"/>
    <n v="0.25"/>
    <s v="Yes"/>
    <s v="July"/>
  </r>
  <r>
    <n v="1306"/>
    <d v="2023-06-18T00:00:00"/>
    <x v="5"/>
    <s v="Winter Jacket"/>
    <n v="574"/>
    <n v="2"/>
    <n v="1148"/>
    <n v="58"/>
    <s v="Male"/>
    <s v="Lucknow"/>
    <s v="Facebook Ads"/>
    <s v="Cash on Delivery"/>
    <n v="0.2"/>
    <s v="Yes"/>
    <s v="June"/>
  </r>
  <r>
    <n v="1307"/>
    <d v="2023-05-23T00:00:00"/>
    <x v="5"/>
    <s v="Sweater"/>
    <n v="89"/>
    <n v="4"/>
    <n v="356"/>
    <n v="58"/>
    <s v="Female"/>
    <s v="Pune"/>
    <s v="Referral"/>
    <s v="Credit Card"/>
    <n v="0.2"/>
    <s v="Yes"/>
    <s v="May"/>
  </r>
  <r>
    <n v="1308"/>
    <d v="2023-04-28T00:00:00"/>
    <x v="5"/>
    <s v="Jeans"/>
    <n v="532"/>
    <n v="5"/>
    <n v="2660"/>
    <n v="45"/>
    <s v="Male"/>
    <s v="Delhi"/>
    <s v="Email Campaign"/>
    <s v="PayPal"/>
    <n v="0.25"/>
    <s v="Yes"/>
    <s v="April"/>
  </r>
  <r>
    <n v="1309"/>
    <d v="2023-08-02T00:00:00"/>
    <x v="2"/>
    <s v="Smartwatch"/>
    <n v="378"/>
    <n v="3"/>
    <n v="1134"/>
    <n v="58"/>
    <s v="Male"/>
    <s v="Ahmedabad"/>
    <s v="Facebook Ads"/>
    <s v="Debit Card"/>
    <n v="0.05"/>
    <s v="No"/>
    <s v="August"/>
  </r>
  <r>
    <n v="1310"/>
    <d v="2023-02-20T00:00:00"/>
    <x v="3"/>
    <s v="Milk"/>
    <n v="32"/>
    <n v="3"/>
    <n v="96"/>
    <n v="26"/>
    <s v="Male"/>
    <s v="Lucknow"/>
    <s v="Organic Search"/>
    <s v="UPI"/>
    <n v="0.2"/>
    <s v="No"/>
    <s v="February"/>
  </r>
  <r>
    <n v="1311"/>
    <d v="2023-01-03T00:00:00"/>
    <x v="0"/>
    <s v="Remote Car"/>
    <n v="832"/>
    <n v="1"/>
    <n v="832"/>
    <n v="50"/>
    <s v="Male"/>
    <s v="Bangalore"/>
    <s v="Facebook Ads"/>
    <s v="UPI"/>
    <n v="0.2"/>
    <s v="Yes"/>
    <s v="January"/>
  </r>
  <r>
    <n v="1312"/>
    <d v="2023-02-07T00:00:00"/>
    <x v="1"/>
    <s v="Curtains"/>
    <n v="1005"/>
    <n v="4"/>
    <n v="4020"/>
    <n v="30"/>
    <s v="Male"/>
    <s v="Mumbai"/>
    <s v="Google Ads"/>
    <s v="PayPal"/>
    <n v="0.1"/>
    <s v="No"/>
    <s v="February"/>
  </r>
  <r>
    <n v="1313"/>
    <d v="2023-01-10T00:00:00"/>
    <x v="2"/>
    <s v="Tablet"/>
    <n v="906"/>
    <n v="4"/>
    <n v="3624"/>
    <n v="26"/>
    <s v="Male"/>
    <s v="Chennai"/>
    <s v="Email Campaign"/>
    <s v="Cash on Delivery"/>
    <n v="0.1"/>
    <s v="Yes"/>
    <s v="January"/>
  </r>
  <r>
    <n v="1314"/>
    <d v="2023-02-23T00:00:00"/>
    <x v="5"/>
    <s v="Dress"/>
    <n v="287"/>
    <n v="2"/>
    <n v="574"/>
    <n v="31"/>
    <s v="Male"/>
    <s v="Pune"/>
    <s v="Email Campaign"/>
    <s v="Credit Card"/>
    <n v="0.2"/>
    <s v="No"/>
    <s v="February"/>
  </r>
  <r>
    <n v="1315"/>
    <d v="2024-01-05T00:00:00"/>
    <x v="1"/>
    <s v="Cushions"/>
    <n v="231"/>
    <n v="4"/>
    <n v="924"/>
    <n v="34"/>
    <s v="Male"/>
    <s v="Mumbai"/>
    <s v="Instagram"/>
    <s v="Cash on Delivery"/>
    <n v="0.1"/>
    <s v="No"/>
    <s v="January"/>
  </r>
  <r>
    <n v="1316"/>
    <d v="2023-09-26T00:00:00"/>
    <x v="4"/>
    <s v="Yoga Mat"/>
    <n v="638"/>
    <n v="2"/>
    <n v="1276"/>
    <n v="22"/>
    <s v="Female"/>
    <s v="Delhi"/>
    <s v="Instagram"/>
    <s v="Debit Card"/>
    <n v="0.25"/>
    <s v="No"/>
    <s v="September"/>
  </r>
  <r>
    <n v="1317"/>
    <d v="2023-10-13T00:00:00"/>
    <x v="3"/>
    <s v="Bread"/>
    <n v="219"/>
    <n v="5"/>
    <n v="1095"/>
    <n v="53"/>
    <s v="Male"/>
    <s v="Kolkata"/>
    <s v="Google Ads"/>
    <s v="Debit Card"/>
    <n v="0.05"/>
    <s v="Yes"/>
    <s v="October"/>
  </r>
  <r>
    <n v="1318"/>
    <d v="2023-07-15T00:00:00"/>
    <x v="4"/>
    <s v="Tennis Racket"/>
    <n v="161"/>
    <n v="5"/>
    <n v="805"/>
    <n v="46"/>
    <s v="Female"/>
    <s v="Kolkata"/>
    <s v="Google Ads"/>
    <s v="UPI"/>
    <n v="0.25"/>
    <s v="Yes"/>
    <s v="July"/>
  </r>
  <r>
    <n v="1319"/>
    <d v="2023-12-03T00:00:00"/>
    <x v="2"/>
    <s v="Headphones"/>
    <n v="1358"/>
    <n v="4"/>
    <n v="5432"/>
    <n v="20"/>
    <s v="Male"/>
    <s v="Lucknow"/>
    <s v="Email Campaign"/>
    <s v="UPI"/>
    <n v="0.3"/>
    <s v="No"/>
    <s v="December"/>
  </r>
  <r>
    <n v="1320"/>
    <d v="2023-10-10T00:00:00"/>
    <x v="6"/>
    <s v="Sandals"/>
    <n v="1222"/>
    <n v="3"/>
    <n v="3666"/>
    <n v="60"/>
    <s v="Female"/>
    <s v="Pune"/>
    <s v="Email Campaign"/>
    <s v="Credit Card"/>
    <n v="0.25"/>
    <s v="No"/>
    <s v="October"/>
  </r>
  <r>
    <n v="1321"/>
    <d v="2023-10-19T00:00:00"/>
    <x v="4"/>
    <s v="Basketball"/>
    <n v="884"/>
    <n v="3"/>
    <n v="2652"/>
    <n v="60"/>
    <s v="Male"/>
    <s v="Kolkata"/>
    <s v="Organic Search"/>
    <s v="UPI"/>
    <n v="0.2"/>
    <s v="Yes"/>
    <s v="October"/>
  </r>
  <r>
    <n v="1322"/>
    <d v="2023-04-27T00:00:00"/>
    <x v="6"/>
    <s v="Sneakers"/>
    <n v="600"/>
    <n v="1"/>
    <n v="600"/>
    <n v="54"/>
    <s v="Female"/>
    <s v="Bangalore"/>
    <s v="Email Campaign"/>
    <s v="Debit Card"/>
    <n v="0.1"/>
    <s v="No"/>
    <s v="April"/>
  </r>
  <r>
    <n v="1323"/>
    <d v="2023-02-14T00:00:00"/>
    <x v="2"/>
    <s v="Laptop"/>
    <n v="1025"/>
    <n v="2"/>
    <n v="2050"/>
    <n v="29"/>
    <s v="Male"/>
    <s v="Chennai"/>
    <s v="Email Campaign"/>
    <s v="UPI"/>
    <n v="0.2"/>
    <s v="Yes"/>
    <s v="February"/>
  </r>
  <r>
    <n v="1324"/>
    <d v="2023-09-18T00:00:00"/>
    <x v="2"/>
    <s v="Smartphone"/>
    <n v="1257"/>
    <n v="3"/>
    <n v="3771"/>
    <n v="48"/>
    <s v="Female"/>
    <s v="Lucknow"/>
    <s v="Organic Search"/>
    <s v="UPI"/>
    <n v="0.25"/>
    <s v="No"/>
    <s v="September"/>
  </r>
  <r>
    <n v="1325"/>
    <d v="2023-01-02T00:00:00"/>
    <x v="2"/>
    <s v="Smartwatch"/>
    <n v="92"/>
    <n v="1"/>
    <n v="92"/>
    <n v="53"/>
    <s v="Female"/>
    <s v="Delhi"/>
    <s v="Referral"/>
    <s v="PayPal"/>
    <n v="0.2"/>
    <s v="Yes"/>
    <s v="January"/>
  </r>
  <r>
    <n v="1326"/>
    <d v="2023-01-03T00:00:00"/>
    <x v="0"/>
    <s v="Board Game"/>
    <n v="814"/>
    <n v="2"/>
    <n v="1628"/>
    <n v="59"/>
    <s v="Male"/>
    <s v="Pune"/>
    <s v="Facebook Ads"/>
    <s v="UPI"/>
    <n v="0.15"/>
    <s v="Yes"/>
    <s v="January"/>
  </r>
  <r>
    <n v="1327"/>
    <d v="2023-01-10T00:00:00"/>
    <x v="1"/>
    <s v="Curtains"/>
    <n v="1071"/>
    <n v="5"/>
    <n v="5355"/>
    <n v="24"/>
    <s v="Male"/>
    <s v="Chennai"/>
    <s v="Organic Search"/>
    <s v="Credit Card"/>
    <n v="0.25"/>
    <s v="No"/>
    <s v="January"/>
  </r>
  <r>
    <n v="1328"/>
    <d v="2023-06-19T00:00:00"/>
    <x v="6"/>
    <s v="Sandals"/>
    <n v="128"/>
    <n v="4"/>
    <n v="512"/>
    <n v="18"/>
    <s v="Male"/>
    <s v="Kolkata"/>
    <s v="Email Campaign"/>
    <s v="Cash on Delivery"/>
    <n v="0.15"/>
    <s v="No"/>
    <s v="June"/>
  </r>
  <r>
    <n v="1329"/>
    <d v="2023-02-12T00:00:00"/>
    <x v="5"/>
    <s v="Dress"/>
    <n v="69"/>
    <n v="4"/>
    <n v="276"/>
    <n v="27"/>
    <s v="Female"/>
    <s v="Jaipur"/>
    <s v="Email Campaign"/>
    <s v="UPI"/>
    <n v="0.2"/>
    <s v="No"/>
    <s v="February"/>
  </r>
  <r>
    <n v="1330"/>
    <d v="2023-12-22T00:00:00"/>
    <x v="2"/>
    <s v="Laptop"/>
    <n v="637"/>
    <n v="1"/>
    <n v="637"/>
    <n v="50"/>
    <s v="Female"/>
    <s v="Bangalore"/>
    <s v="Instagram"/>
    <s v="Credit Card"/>
    <n v="0.3"/>
    <s v="Yes"/>
    <s v="December"/>
  </r>
  <r>
    <n v="1331"/>
    <d v="2023-03-02T00:00:00"/>
    <x v="1"/>
    <s v="Wall Art"/>
    <n v="1327"/>
    <n v="2"/>
    <n v="2654"/>
    <n v="31"/>
    <s v="Male"/>
    <s v="Delhi"/>
    <s v="Referral"/>
    <s v="PayPal"/>
    <n v="0.15"/>
    <s v="Yes"/>
    <s v="March"/>
  </r>
  <r>
    <n v="1332"/>
    <d v="2023-09-21T00:00:00"/>
    <x v="5"/>
    <s v="Winter Jacket"/>
    <n v="229"/>
    <n v="4"/>
    <n v="916"/>
    <n v="59"/>
    <s v="Female"/>
    <s v="Jaipur"/>
    <s v="Google Ads"/>
    <s v="Credit Card"/>
    <n v="0.15"/>
    <s v="Yes"/>
    <s v="September"/>
  </r>
  <r>
    <n v="1333"/>
    <d v="2023-03-15T00:00:00"/>
    <x v="1"/>
    <s v="Curtains"/>
    <n v="1154"/>
    <n v="5"/>
    <n v="5770"/>
    <n v="20"/>
    <s v="Male"/>
    <s v="Pune"/>
    <s v="Facebook Ads"/>
    <s v="UPI"/>
    <n v="0.3"/>
    <s v="Yes"/>
    <s v="March"/>
  </r>
  <r>
    <n v="1334"/>
    <d v="2023-06-10T00:00:00"/>
    <x v="4"/>
    <s v="Yoga Mat"/>
    <n v="1333"/>
    <n v="3"/>
    <n v="3999"/>
    <n v="38"/>
    <s v="Male"/>
    <s v="Pune"/>
    <s v="Facebook Ads"/>
    <s v="PayPal"/>
    <n v="0.2"/>
    <s v="Yes"/>
    <s v="June"/>
  </r>
  <r>
    <n v="1335"/>
    <d v="2023-11-03T00:00:00"/>
    <x v="0"/>
    <s v="Board Game"/>
    <n v="607"/>
    <n v="3"/>
    <n v="1821"/>
    <n v="19"/>
    <s v="Female"/>
    <s v="Bangalore"/>
    <s v="Referral"/>
    <s v="UPI"/>
    <n v="0.05"/>
    <s v="No"/>
    <s v="November"/>
  </r>
  <r>
    <n v="1336"/>
    <d v="2023-07-19T00:00:00"/>
    <x v="6"/>
    <s v="Sandals"/>
    <n v="950"/>
    <n v="3"/>
    <n v="2850"/>
    <n v="18"/>
    <s v="Female"/>
    <s v="Delhi"/>
    <s v="Instagram"/>
    <s v="UPI"/>
    <n v="0.1"/>
    <s v="No"/>
    <s v="July"/>
  </r>
  <r>
    <n v="1337"/>
    <d v="2023-09-08T00:00:00"/>
    <x v="4"/>
    <s v="Yoga Mat"/>
    <n v="1303"/>
    <n v="1"/>
    <n v="1303"/>
    <n v="48"/>
    <s v="Male"/>
    <s v="Lucknow"/>
    <s v="Email Campaign"/>
    <s v="PayPal"/>
    <n v="0.2"/>
    <s v="Yes"/>
    <s v="September"/>
  </r>
  <r>
    <n v="1338"/>
    <d v="2023-12-10T00:00:00"/>
    <x v="3"/>
    <s v="Cereal Pack"/>
    <n v="1415"/>
    <n v="1"/>
    <n v="1415"/>
    <n v="35"/>
    <s v="Female"/>
    <s v="Pune"/>
    <s v="Instagram"/>
    <s v="Cash on Delivery"/>
    <n v="0.05"/>
    <s v="No"/>
    <s v="December"/>
  </r>
  <r>
    <n v="1339"/>
    <d v="2023-03-19T00:00:00"/>
    <x v="2"/>
    <s v="Smartphone"/>
    <n v="771"/>
    <n v="3"/>
    <n v="2313"/>
    <n v="43"/>
    <s v="Male"/>
    <s v="Ahmedabad"/>
    <s v="Instagram"/>
    <s v="PayPal"/>
    <n v="0.15"/>
    <s v="No"/>
    <s v="March"/>
  </r>
  <r>
    <n v="1340"/>
    <d v="2023-07-29T00:00:00"/>
    <x v="0"/>
    <s v="Dollhouse"/>
    <n v="70"/>
    <n v="2"/>
    <n v="140"/>
    <n v="19"/>
    <s v="Female"/>
    <s v="Pune"/>
    <s v="Google Ads"/>
    <s v="UPI"/>
    <n v="0.2"/>
    <s v="Yes"/>
    <s v="July"/>
  </r>
  <r>
    <n v="1341"/>
    <d v="2023-04-15T00:00:00"/>
    <x v="0"/>
    <s v="Remote Car"/>
    <n v="607"/>
    <n v="2"/>
    <n v="1214"/>
    <n v="20"/>
    <s v="Female"/>
    <s v="Delhi"/>
    <s v="Email Campaign"/>
    <s v="PayPal"/>
    <n v="0.05"/>
    <s v="No"/>
    <s v="April"/>
  </r>
  <r>
    <n v="1342"/>
    <d v="2023-01-12T00:00:00"/>
    <x v="0"/>
    <s v="Remote Car"/>
    <n v="171"/>
    <n v="4"/>
    <n v="684"/>
    <n v="28"/>
    <s v="Female"/>
    <s v="Jaipur"/>
    <s v="Referral"/>
    <s v="Credit Card"/>
    <n v="0.2"/>
    <s v="No"/>
    <s v="January"/>
  </r>
  <r>
    <n v="1343"/>
    <d v="2023-07-20T00:00:00"/>
    <x v="2"/>
    <s v="Laptop"/>
    <n v="881"/>
    <n v="4"/>
    <n v="3524"/>
    <n v="19"/>
    <s v="Male"/>
    <s v="Bangalore"/>
    <s v="Google Ads"/>
    <s v="Cash on Delivery"/>
    <n v="0.05"/>
    <s v="No"/>
    <s v="July"/>
  </r>
  <r>
    <n v="1344"/>
    <d v="2023-12-09T00:00:00"/>
    <x v="0"/>
    <s v="Remote Car"/>
    <n v="1012"/>
    <n v="5"/>
    <n v="5060"/>
    <n v="37"/>
    <s v="Female"/>
    <s v="Bangalore"/>
    <s v="Instagram"/>
    <s v="Credit Card"/>
    <n v="0.3"/>
    <s v="No"/>
    <s v="December"/>
  </r>
  <r>
    <n v="1345"/>
    <d v="2023-10-07T00:00:00"/>
    <x v="1"/>
    <s v="Carpet"/>
    <n v="775"/>
    <n v="3"/>
    <n v="2325"/>
    <n v="36"/>
    <s v="Female"/>
    <s v="Jaipur"/>
    <s v="Email Campaign"/>
    <s v="Debit Card"/>
    <n v="0.3"/>
    <s v="No"/>
    <s v="October"/>
  </r>
  <r>
    <n v="1346"/>
    <d v="2023-07-05T00:00:00"/>
    <x v="6"/>
    <s v="Sandals"/>
    <n v="329"/>
    <n v="1"/>
    <n v="329"/>
    <n v="53"/>
    <s v="Male"/>
    <s v="Jaipur"/>
    <s v="Instagram"/>
    <s v="Debit Card"/>
    <n v="0.3"/>
    <s v="No"/>
    <s v="July"/>
  </r>
  <r>
    <n v="1347"/>
    <d v="2023-04-01T00:00:00"/>
    <x v="0"/>
    <s v="Lego Set"/>
    <n v="374"/>
    <n v="3"/>
    <n v="1122"/>
    <n v="28"/>
    <s v="Male"/>
    <s v="Kolkata"/>
    <s v="Facebook Ads"/>
    <s v="Cash on Delivery"/>
    <n v="0.05"/>
    <s v="Yes"/>
    <s v="April"/>
  </r>
  <r>
    <n v="1348"/>
    <d v="2023-10-30T00:00:00"/>
    <x v="1"/>
    <s v="Curtains"/>
    <n v="441"/>
    <n v="2"/>
    <n v="882"/>
    <n v="49"/>
    <s v="Male"/>
    <s v="Chennai"/>
    <s v="Facebook Ads"/>
    <s v="Debit Card"/>
    <n v="0.15"/>
    <s v="Yes"/>
    <s v="October"/>
  </r>
  <r>
    <n v="1349"/>
    <d v="2023-10-01T00:00:00"/>
    <x v="2"/>
    <s v="Smartwatch"/>
    <n v="991"/>
    <n v="4"/>
    <n v="3964"/>
    <n v="39"/>
    <s v="Female"/>
    <s v="Chennai"/>
    <s v="Referral"/>
    <s v="Credit Card"/>
    <n v="0.15"/>
    <s v="No"/>
    <s v="October"/>
  </r>
  <r>
    <n v="1350"/>
    <d v="2023-10-15T00:00:00"/>
    <x v="2"/>
    <s v="Tablet"/>
    <n v="1175"/>
    <n v="5"/>
    <n v="5875"/>
    <n v="42"/>
    <s v="Male"/>
    <s v="Chennai"/>
    <s v="Google Ads"/>
    <s v="Debit Card"/>
    <n v="0.25"/>
    <s v="Yes"/>
    <s v="October"/>
  </r>
  <r>
    <n v="1351"/>
    <d v="2023-01-08T00:00:00"/>
    <x v="3"/>
    <s v="Milk"/>
    <n v="662"/>
    <n v="3"/>
    <n v="1986"/>
    <n v="35"/>
    <s v="Male"/>
    <s v="Ahmedabad"/>
    <s v="Facebook Ads"/>
    <s v="Credit Card"/>
    <n v="0.15"/>
    <s v="No"/>
    <s v="January"/>
  </r>
  <r>
    <n v="1352"/>
    <d v="2023-05-01T00:00:00"/>
    <x v="3"/>
    <s v="Bread"/>
    <n v="989"/>
    <n v="4"/>
    <n v="3956"/>
    <n v="38"/>
    <s v="Male"/>
    <s v="Hyderabad"/>
    <s v="Instagram"/>
    <s v="PayPal"/>
    <n v="0.05"/>
    <s v="No"/>
    <s v="May"/>
  </r>
  <r>
    <n v="1353"/>
    <d v="2023-05-18T00:00:00"/>
    <x v="3"/>
    <s v="Coffee"/>
    <n v="425"/>
    <n v="2"/>
    <n v="850"/>
    <n v="19"/>
    <s v="Female"/>
    <s v="Mumbai"/>
    <s v="Google Ads"/>
    <s v="Debit Card"/>
    <n v="0.05"/>
    <s v="No"/>
    <s v="May"/>
  </r>
  <r>
    <n v="1354"/>
    <d v="2023-12-22T00:00:00"/>
    <x v="0"/>
    <s v="Board Game"/>
    <n v="399"/>
    <n v="3"/>
    <n v="1197"/>
    <n v="39"/>
    <s v="Female"/>
    <s v="Jaipur"/>
    <s v="Google Ads"/>
    <s v="Cash on Delivery"/>
    <n v="0.2"/>
    <s v="No"/>
    <s v="December"/>
  </r>
  <r>
    <n v="1355"/>
    <d v="2023-03-12T00:00:00"/>
    <x v="3"/>
    <s v="Cereal Pack"/>
    <n v="967"/>
    <n v="2"/>
    <n v="1934"/>
    <n v="45"/>
    <s v="Male"/>
    <s v="Bangalore"/>
    <s v="Organic Search"/>
    <s v="PayPal"/>
    <n v="0.3"/>
    <s v="Yes"/>
    <s v="March"/>
  </r>
  <r>
    <n v="1356"/>
    <d v="2023-01-17T00:00:00"/>
    <x v="1"/>
    <s v="Carpet"/>
    <n v="1071"/>
    <n v="3"/>
    <n v="3213"/>
    <n v="53"/>
    <s v="Female"/>
    <s v="Jaipur"/>
    <s v="Email Campaign"/>
    <s v="Credit Card"/>
    <n v="0.05"/>
    <s v="Yes"/>
    <s v="January"/>
  </r>
  <r>
    <n v="1357"/>
    <d v="2023-01-07T00:00:00"/>
    <x v="6"/>
    <s v="Boots"/>
    <n v="444"/>
    <n v="3"/>
    <n v="1332"/>
    <n v="60"/>
    <s v="Male"/>
    <s v="Bangalore"/>
    <s v="Referral"/>
    <s v="PayPal"/>
    <n v="0.3"/>
    <s v="Yes"/>
    <s v="January"/>
  </r>
  <r>
    <n v="1358"/>
    <d v="2023-03-07T00:00:00"/>
    <x v="2"/>
    <s v="Tablet"/>
    <n v="855"/>
    <n v="1"/>
    <n v="855"/>
    <n v="41"/>
    <s v="Male"/>
    <s v="Lucknow"/>
    <s v="Google Ads"/>
    <s v="PayPal"/>
    <n v="0.05"/>
    <s v="No"/>
    <s v="March"/>
  </r>
  <r>
    <n v="1359"/>
    <d v="2023-07-19T00:00:00"/>
    <x v="2"/>
    <s v="Tablet"/>
    <n v="924"/>
    <n v="1"/>
    <n v="924"/>
    <n v="49"/>
    <s v="Female"/>
    <s v="Jaipur"/>
    <s v="Facebook Ads"/>
    <s v="Cash on Delivery"/>
    <n v="0.25"/>
    <s v="Yes"/>
    <s v="July"/>
  </r>
  <r>
    <n v="1360"/>
    <d v="2023-01-20T00:00:00"/>
    <x v="0"/>
    <s v="Puzzle"/>
    <n v="922"/>
    <n v="5"/>
    <n v="4610"/>
    <n v="37"/>
    <s v="Female"/>
    <s v="Kolkata"/>
    <s v="Referral"/>
    <s v="Cash on Delivery"/>
    <n v="0.3"/>
    <s v="Yes"/>
    <s v="January"/>
  </r>
  <r>
    <n v="1361"/>
    <d v="2023-06-05T00:00:00"/>
    <x v="1"/>
    <s v="Wall Art"/>
    <n v="225"/>
    <n v="3"/>
    <n v="675"/>
    <n v="30"/>
    <s v="Female"/>
    <s v="Chennai"/>
    <s v="Facebook Ads"/>
    <s v="Debit Card"/>
    <n v="0.1"/>
    <s v="Yes"/>
    <s v="June"/>
  </r>
  <r>
    <n v="1362"/>
    <d v="2023-06-22T00:00:00"/>
    <x v="6"/>
    <s v="Running Shoes"/>
    <n v="795"/>
    <n v="5"/>
    <n v="3975"/>
    <n v="25"/>
    <s v="Male"/>
    <s v="Hyderabad"/>
    <s v="Instagram"/>
    <s v="Cash on Delivery"/>
    <n v="0.3"/>
    <s v="Yes"/>
    <s v="June"/>
  </r>
  <r>
    <n v="1363"/>
    <d v="2023-01-03T00:00:00"/>
    <x v="6"/>
    <s v="Boots"/>
    <n v="1017"/>
    <n v="5"/>
    <n v="5085"/>
    <n v="36"/>
    <s v="Female"/>
    <s v="Hyderabad"/>
    <s v="Referral"/>
    <s v="Credit Card"/>
    <n v="0.1"/>
    <s v="No"/>
    <s v="January"/>
  </r>
  <r>
    <n v="1364"/>
    <d v="2023-09-03T00:00:00"/>
    <x v="1"/>
    <s v="Carpet"/>
    <n v="176"/>
    <n v="1"/>
    <n v="176"/>
    <n v="23"/>
    <s v="Male"/>
    <s v="Delhi"/>
    <s v="Instagram"/>
    <s v="Cash on Delivery"/>
    <n v="0.2"/>
    <s v="Yes"/>
    <s v="September"/>
  </r>
  <r>
    <n v="1365"/>
    <d v="2023-04-15T00:00:00"/>
    <x v="1"/>
    <s v="Wall Art"/>
    <n v="1252"/>
    <n v="1"/>
    <n v="1252"/>
    <n v="49"/>
    <s v="Male"/>
    <s v="Bangalore"/>
    <s v="Organic Search"/>
    <s v="Credit Card"/>
    <n v="0.3"/>
    <s v="No"/>
    <s v="April"/>
  </r>
  <r>
    <n v="1366"/>
    <d v="2023-03-21T00:00:00"/>
    <x v="5"/>
    <s v="Dress"/>
    <n v="321"/>
    <n v="4"/>
    <n v="1284"/>
    <n v="36"/>
    <s v="Male"/>
    <s v="Mumbai"/>
    <s v="Email Campaign"/>
    <s v="PayPal"/>
    <n v="0.1"/>
    <s v="Yes"/>
    <s v="March"/>
  </r>
  <r>
    <n v="1367"/>
    <d v="2023-06-15T00:00:00"/>
    <x v="2"/>
    <s v="Smartphone"/>
    <n v="1312"/>
    <n v="5"/>
    <n v="6560"/>
    <n v="57"/>
    <s v="Female"/>
    <s v="Hyderabad"/>
    <s v="Email Campaign"/>
    <s v="Debit Card"/>
    <n v="0.25"/>
    <s v="No"/>
    <s v="June"/>
  </r>
  <r>
    <n v="1368"/>
    <d v="2023-06-07T00:00:00"/>
    <x v="3"/>
    <s v="Coffee"/>
    <n v="1458"/>
    <n v="2"/>
    <n v="2916"/>
    <n v="42"/>
    <s v="Male"/>
    <s v="Lucknow"/>
    <s v="Google Ads"/>
    <s v="UPI"/>
    <n v="0.05"/>
    <s v="No"/>
    <s v="June"/>
  </r>
  <r>
    <n v="1369"/>
    <d v="2023-05-24T00:00:00"/>
    <x v="4"/>
    <s v="Football"/>
    <n v="670"/>
    <n v="5"/>
    <n v="3350"/>
    <n v="28"/>
    <s v="Male"/>
    <s v="Delhi"/>
    <s v="Facebook Ads"/>
    <s v="PayPal"/>
    <n v="0.05"/>
    <s v="Yes"/>
    <s v="May"/>
  </r>
  <r>
    <n v="1370"/>
    <d v="2023-03-15T00:00:00"/>
    <x v="1"/>
    <s v="Cushions"/>
    <n v="403"/>
    <n v="5"/>
    <n v="2015"/>
    <n v="31"/>
    <s v="Female"/>
    <s v="Lucknow"/>
    <s v="Organic Search"/>
    <s v="Credit Card"/>
    <n v="0.2"/>
    <s v="No"/>
    <s v="March"/>
  </r>
  <r>
    <n v="1371"/>
    <d v="2023-03-16T00:00:00"/>
    <x v="4"/>
    <s v="Skipping Rope"/>
    <n v="164"/>
    <n v="4"/>
    <n v="656"/>
    <n v="21"/>
    <s v="Male"/>
    <s v="Hyderabad"/>
    <s v="Google Ads"/>
    <s v="UPI"/>
    <n v="0.3"/>
    <s v="Yes"/>
    <s v="March"/>
  </r>
  <r>
    <n v="1372"/>
    <d v="2023-11-26T00:00:00"/>
    <x v="2"/>
    <s v="Smartwatch"/>
    <n v="1353"/>
    <n v="2"/>
    <n v="2706"/>
    <n v="56"/>
    <s v="Male"/>
    <s v="Hyderabad"/>
    <s v="Google Ads"/>
    <s v="Credit Card"/>
    <n v="0.2"/>
    <s v="Yes"/>
    <s v="November"/>
  </r>
  <r>
    <n v="1373"/>
    <d v="2023-03-14T00:00:00"/>
    <x v="2"/>
    <s v="Tablet"/>
    <n v="662"/>
    <n v="2"/>
    <n v="1324"/>
    <n v="31"/>
    <s v="Male"/>
    <s v="Pune"/>
    <s v="Organic Search"/>
    <s v="Cash on Delivery"/>
    <n v="0.2"/>
    <s v="Yes"/>
    <s v="March"/>
  </r>
  <r>
    <n v="1374"/>
    <d v="2023-01-08T00:00:00"/>
    <x v="0"/>
    <s v="Remote Car"/>
    <n v="753"/>
    <n v="5"/>
    <n v="3765"/>
    <n v="41"/>
    <s v="Male"/>
    <s v="Delhi"/>
    <s v="Referral"/>
    <s v="PayPal"/>
    <n v="0.2"/>
    <s v="Yes"/>
    <s v="January"/>
  </r>
  <r>
    <n v="1375"/>
    <d v="2023-07-01T00:00:00"/>
    <x v="6"/>
    <s v="Formal Shoes"/>
    <n v="906"/>
    <n v="5"/>
    <n v="4530"/>
    <n v="52"/>
    <s v="Male"/>
    <s v="Mumbai"/>
    <s v="Google Ads"/>
    <s v="UPI"/>
    <n v="0.15"/>
    <s v="Yes"/>
    <s v="July"/>
  </r>
  <r>
    <n v="1376"/>
    <d v="2024-01-13T00:00:00"/>
    <x v="1"/>
    <s v="Cushions"/>
    <n v="287"/>
    <n v="4"/>
    <n v="1148"/>
    <n v="48"/>
    <s v="Female"/>
    <s v="Lucknow"/>
    <s v="Referral"/>
    <s v="Credit Card"/>
    <n v="0.25"/>
    <s v="Yes"/>
    <s v="January"/>
  </r>
  <r>
    <n v="1377"/>
    <d v="2023-02-09T00:00:00"/>
    <x v="5"/>
    <s v="Dress"/>
    <n v="1390"/>
    <n v="5"/>
    <n v="6950"/>
    <n v="28"/>
    <s v="Female"/>
    <s v="Bangalore"/>
    <s v="Email Campaign"/>
    <s v="Cash on Delivery"/>
    <n v="0.25"/>
    <s v="Yes"/>
    <s v="February"/>
  </r>
  <r>
    <n v="1378"/>
    <d v="2023-11-21T00:00:00"/>
    <x v="4"/>
    <s v="Skipping Rope"/>
    <n v="818"/>
    <n v="2"/>
    <n v="1636"/>
    <n v="50"/>
    <s v="Male"/>
    <s v="Jaipur"/>
    <s v="Instagram"/>
    <s v="Credit Card"/>
    <n v="0.15"/>
    <s v="No"/>
    <s v="November"/>
  </r>
  <r>
    <n v="1379"/>
    <d v="2024-01-29T00:00:00"/>
    <x v="3"/>
    <s v="Milk"/>
    <n v="787"/>
    <n v="2"/>
    <n v="1574"/>
    <n v="44"/>
    <s v="Female"/>
    <s v="Bangalore"/>
    <s v="Email Campaign"/>
    <s v="UPI"/>
    <n v="0.1"/>
    <s v="No"/>
    <s v="January"/>
  </r>
  <r>
    <n v="1380"/>
    <d v="2023-09-09T00:00:00"/>
    <x v="2"/>
    <s v="Smartwatch"/>
    <n v="211"/>
    <n v="5"/>
    <n v="1055"/>
    <n v="37"/>
    <s v="Male"/>
    <s v="Ahmedabad"/>
    <s v="Organic Search"/>
    <s v="Debit Card"/>
    <n v="0.3"/>
    <s v="Yes"/>
    <s v="September"/>
  </r>
  <r>
    <n v="1381"/>
    <d v="2023-11-18T00:00:00"/>
    <x v="2"/>
    <s v="Headphones"/>
    <n v="149"/>
    <n v="4"/>
    <n v="596"/>
    <n v="43"/>
    <s v="Female"/>
    <s v="Delhi"/>
    <s v="Email Campaign"/>
    <s v="Debit Card"/>
    <n v="0.1"/>
    <s v="Yes"/>
    <s v="November"/>
  </r>
  <r>
    <n v="1382"/>
    <d v="2024-02-04T00:00:00"/>
    <x v="2"/>
    <s v="Smartwatch"/>
    <n v="1013"/>
    <n v="2"/>
    <n v="2026"/>
    <n v="55"/>
    <s v="Female"/>
    <s v="Mumbai"/>
    <s v="Google Ads"/>
    <s v="Cash on Delivery"/>
    <n v="0.2"/>
    <s v="No"/>
    <s v="February"/>
  </r>
  <r>
    <n v="1383"/>
    <d v="2023-11-05T00:00:00"/>
    <x v="6"/>
    <s v="Sandals"/>
    <n v="421"/>
    <n v="4"/>
    <n v="1684"/>
    <n v="45"/>
    <s v="Female"/>
    <s v="Kolkata"/>
    <s v="Email Campaign"/>
    <s v="UPI"/>
    <n v="0.3"/>
    <s v="No"/>
    <s v="November"/>
  </r>
  <r>
    <n v="1384"/>
    <d v="2023-03-09T00:00:00"/>
    <x v="6"/>
    <s v="Sandals"/>
    <n v="579"/>
    <n v="5"/>
    <n v="2895"/>
    <n v="44"/>
    <s v="Male"/>
    <s v="Kolkata"/>
    <s v="Referral"/>
    <s v="Credit Card"/>
    <n v="0.05"/>
    <s v="Yes"/>
    <s v="March"/>
  </r>
  <r>
    <n v="1385"/>
    <d v="2023-07-16T00:00:00"/>
    <x v="4"/>
    <s v="Yoga Mat"/>
    <n v="1295"/>
    <n v="1"/>
    <n v="1295"/>
    <n v="34"/>
    <s v="Female"/>
    <s v="Pune"/>
    <s v="Facebook Ads"/>
    <s v="Credit Card"/>
    <n v="0.2"/>
    <s v="Yes"/>
    <s v="July"/>
  </r>
  <r>
    <n v="1386"/>
    <d v="2023-05-07T00:00:00"/>
    <x v="2"/>
    <s v="Headphones"/>
    <n v="91"/>
    <n v="4"/>
    <n v="364"/>
    <n v="47"/>
    <s v="Female"/>
    <s v="Lucknow"/>
    <s v="Facebook Ads"/>
    <s v="UPI"/>
    <n v="0.15"/>
    <s v="No"/>
    <s v="May"/>
  </r>
  <r>
    <n v="1387"/>
    <d v="2023-03-30T00:00:00"/>
    <x v="1"/>
    <s v="Wall Art"/>
    <n v="375"/>
    <n v="2"/>
    <n v="750"/>
    <n v="28"/>
    <s v="Male"/>
    <s v="Hyderabad"/>
    <s v="Instagram"/>
    <s v="UPI"/>
    <n v="0.3"/>
    <s v="Yes"/>
    <s v="March"/>
  </r>
  <r>
    <n v="1388"/>
    <d v="2023-12-18T00:00:00"/>
    <x v="3"/>
    <s v="Milk"/>
    <n v="391"/>
    <n v="4"/>
    <n v="1564"/>
    <n v="49"/>
    <s v="Female"/>
    <s v="Kolkata"/>
    <s v="Google Ads"/>
    <s v="UPI"/>
    <n v="0.25"/>
    <s v="Yes"/>
    <s v="December"/>
  </r>
  <r>
    <n v="1389"/>
    <d v="2023-06-03T00:00:00"/>
    <x v="1"/>
    <s v="Cushions"/>
    <n v="1400"/>
    <n v="2"/>
    <n v="2800"/>
    <n v="23"/>
    <s v="Male"/>
    <s v="Delhi"/>
    <s v="Email Campaign"/>
    <s v="PayPal"/>
    <n v="0.25"/>
    <s v="Yes"/>
    <s v="June"/>
  </r>
  <r>
    <n v="1390"/>
    <d v="2024-01-23T00:00:00"/>
    <x v="5"/>
    <s v="T-shirt"/>
    <n v="120"/>
    <n v="2"/>
    <n v="240"/>
    <n v="58"/>
    <s v="Female"/>
    <s v="Kolkata"/>
    <s v="Email Campaign"/>
    <s v="UPI"/>
    <n v="0.25"/>
    <s v="Yes"/>
    <s v="January"/>
  </r>
  <r>
    <n v="1391"/>
    <d v="2023-09-29T00:00:00"/>
    <x v="3"/>
    <s v="Cereal Pack"/>
    <n v="64"/>
    <n v="3"/>
    <n v="192"/>
    <n v="53"/>
    <s v="Male"/>
    <s v="Delhi"/>
    <s v="Instagram"/>
    <s v="UPI"/>
    <n v="0.1"/>
    <s v="No"/>
    <s v="September"/>
  </r>
  <r>
    <n v="1392"/>
    <d v="2023-06-17T00:00:00"/>
    <x v="6"/>
    <s v="Formal Shoes"/>
    <n v="100"/>
    <n v="3"/>
    <n v="300"/>
    <n v="43"/>
    <s v="Male"/>
    <s v="Delhi"/>
    <s v="Organic Search"/>
    <s v="Cash on Delivery"/>
    <n v="0.15"/>
    <s v="No"/>
    <s v="June"/>
  </r>
  <r>
    <n v="1393"/>
    <d v="2023-11-05T00:00:00"/>
    <x v="2"/>
    <s v="Headphones"/>
    <n v="657"/>
    <n v="5"/>
    <n v="3285"/>
    <n v="47"/>
    <s v="Male"/>
    <s v="Chennai"/>
    <s v="Instagram"/>
    <s v="Debit Card"/>
    <n v="0.05"/>
    <s v="No"/>
    <s v="November"/>
  </r>
  <r>
    <n v="1394"/>
    <d v="2023-10-06T00:00:00"/>
    <x v="2"/>
    <s v="Tablet"/>
    <n v="337"/>
    <n v="2"/>
    <n v="674"/>
    <n v="18"/>
    <s v="Male"/>
    <s v="Kolkata"/>
    <s v="Organic Search"/>
    <s v="PayPal"/>
    <n v="0.3"/>
    <s v="No"/>
    <s v="October"/>
  </r>
  <r>
    <n v="1395"/>
    <d v="2023-04-27T00:00:00"/>
    <x v="2"/>
    <s v="Tablet"/>
    <n v="46"/>
    <n v="5"/>
    <n v="230"/>
    <n v="55"/>
    <s v="Female"/>
    <s v="Kolkata"/>
    <s v="Referral"/>
    <s v="Debit Card"/>
    <n v="0.15"/>
    <s v="No"/>
    <s v="April"/>
  </r>
  <r>
    <n v="1396"/>
    <d v="2023-10-16T00:00:00"/>
    <x v="1"/>
    <s v="Cushions"/>
    <n v="1026"/>
    <n v="4"/>
    <n v="4104"/>
    <n v="29"/>
    <s v="Male"/>
    <s v="Jaipur"/>
    <s v="Organic Search"/>
    <s v="Credit Card"/>
    <n v="0.05"/>
    <s v="No"/>
    <s v="October"/>
  </r>
  <r>
    <n v="1397"/>
    <d v="2023-04-04T00:00:00"/>
    <x v="1"/>
    <s v="Table Lamp"/>
    <n v="778"/>
    <n v="5"/>
    <n v="3890"/>
    <n v="57"/>
    <s v="Male"/>
    <s v="Jaipur"/>
    <s v="Email Campaign"/>
    <s v="UPI"/>
    <n v="0.1"/>
    <s v="No"/>
    <s v="April"/>
  </r>
  <r>
    <n v="1398"/>
    <d v="2023-11-17T00:00:00"/>
    <x v="5"/>
    <s v="Sweater"/>
    <n v="1315"/>
    <n v="1"/>
    <n v="1315"/>
    <n v="19"/>
    <s v="Female"/>
    <s v="Kolkata"/>
    <s v="Google Ads"/>
    <s v="Debit Card"/>
    <n v="0.1"/>
    <s v="No"/>
    <s v="November"/>
  </r>
  <r>
    <n v="1399"/>
    <d v="2023-08-31T00:00:00"/>
    <x v="4"/>
    <s v="Tennis Racket"/>
    <n v="1239"/>
    <n v="2"/>
    <n v="2478"/>
    <n v="47"/>
    <s v="Female"/>
    <s v="Mumbai"/>
    <s v="Instagram"/>
    <s v="UPI"/>
    <n v="0.05"/>
    <s v="No"/>
    <s v="August"/>
  </r>
  <r>
    <n v="1400"/>
    <d v="2023-02-22T00:00:00"/>
    <x v="4"/>
    <s v="Tennis Racket"/>
    <n v="1447"/>
    <n v="1"/>
    <n v="1447"/>
    <n v="29"/>
    <s v="Male"/>
    <s v="Mumbai"/>
    <s v="Referral"/>
    <s v="PayPal"/>
    <n v="0.05"/>
    <s v="No"/>
    <s v="February"/>
  </r>
  <r>
    <n v="1401"/>
    <d v="2023-01-12T00:00:00"/>
    <x v="0"/>
    <s v="Board Game"/>
    <n v="316"/>
    <n v="1"/>
    <n v="316"/>
    <n v="56"/>
    <s v="Female"/>
    <s v="Ahmedabad"/>
    <s v="Organic Search"/>
    <s v="Cash on Delivery"/>
    <n v="0.3"/>
    <s v="No"/>
    <s v="January"/>
  </r>
  <r>
    <n v="1402"/>
    <d v="2023-09-22T00:00:00"/>
    <x v="2"/>
    <s v="Tablet"/>
    <n v="1290"/>
    <n v="1"/>
    <n v="1290"/>
    <n v="41"/>
    <s v="Male"/>
    <s v="Chennai"/>
    <s v="Instagram"/>
    <s v="Credit Card"/>
    <n v="0.05"/>
    <s v="Yes"/>
    <s v="September"/>
  </r>
  <r>
    <n v="1403"/>
    <d v="2023-10-01T00:00:00"/>
    <x v="4"/>
    <s v="Football"/>
    <n v="1215"/>
    <n v="1"/>
    <n v="1215"/>
    <n v="31"/>
    <s v="Male"/>
    <s v="Kolkata"/>
    <s v="Instagram"/>
    <s v="Cash on Delivery"/>
    <n v="0.15"/>
    <s v="No"/>
    <s v="October"/>
  </r>
  <r>
    <n v="1404"/>
    <d v="2023-04-15T00:00:00"/>
    <x v="1"/>
    <s v="Curtains"/>
    <n v="634"/>
    <n v="4"/>
    <n v="2536"/>
    <n v="52"/>
    <s v="Female"/>
    <s v="Mumbai"/>
    <s v="Referral"/>
    <s v="UPI"/>
    <n v="0.05"/>
    <s v="Yes"/>
    <s v="April"/>
  </r>
  <r>
    <n v="1405"/>
    <d v="2023-05-29T00:00:00"/>
    <x v="2"/>
    <s v="Tablet"/>
    <n v="580"/>
    <n v="5"/>
    <n v="2900"/>
    <n v="58"/>
    <s v="Male"/>
    <s v="Hyderabad"/>
    <s v="Google Ads"/>
    <s v="UPI"/>
    <n v="0.3"/>
    <s v="Yes"/>
    <s v="May"/>
  </r>
  <r>
    <n v="1406"/>
    <d v="2023-08-16T00:00:00"/>
    <x v="3"/>
    <s v="Coffee"/>
    <n v="160"/>
    <n v="5"/>
    <n v="800"/>
    <n v="52"/>
    <s v="Male"/>
    <s v="Delhi"/>
    <s v="Facebook Ads"/>
    <s v="Credit Card"/>
    <n v="0.15"/>
    <s v="Yes"/>
    <s v="August"/>
  </r>
  <r>
    <n v="1407"/>
    <d v="2023-12-07T00:00:00"/>
    <x v="0"/>
    <s v="Lego Set"/>
    <n v="373"/>
    <n v="3"/>
    <n v="1119"/>
    <n v="57"/>
    <s v="Male"/>
    <s v="Lucknow"/>
    <s v="Facebook Ads"/>
    <s v="Debit Card"/>
    <n v="0.25"/>
    <s v="No"/>
    <s v="December"/>
  </r>
  <r>
    <n v="1408"/>
    <d v="2023-12-27T00:00:00"/>
    <x v="6"/>
    <s v="Formal Shoes"/>
    <n v="500"/>
    <n v="3"/>
    <n v="1500"/>
    <n v="23"/>
    <s v="Female"/>
    <s v="Delhi"/>
    <s v="Organic Search"/>
    <s v="Credit Card"/>
    <n v="0.25"/>
    <s v="Yes"/>
    <s v="December"/>
  </r>
  <r>
    <n v="1409"/>
    <d v="2023-01-07T00:00:00"/>
    <x v="2"/>
    <s v="Laptop"/>
    <n v="1302"/>
    <n v="1"/>
    <n v="1302"/>
    <n v="39"/>
    <s v="Male"/>
    <s v="Jaipur"/>
    <s v="Organic Search"/>
    <s v="UPI"/>
    <n v="0.15"/>
    <s v="Yes"/>
    <s v="January"/>
  </r>
  <r>
    <n v="1410"/>
    <d v="2023-07-09T00:00:00"/>
    <x v="3"/>
    <s v="Bread"/>
    <n v="1439"/>
    <n v="4"/>
    <n v="5756"/>
    <n v="33"/>
    <s v="Female"/>
    <s v="Bangalore"/>
    <s v="Google Ads"/>
    <s v="UPI"/>
    <n v="0.1"/>
    <s v="No"/>
    <s v="July"/>
  </r>
  <r>
    <n v="1411"/>
    <d v="2023-06-27T00:00:00"/>
    <x v="2"/>
    <s v="Smartwatch"/>
    <n v="684"/>
    <n v="4"/>
    <n v="2736"/>
    <n v="54"/>
    <s v="Female"/>
    <s v="Jaipur"/>
    <s v="Google Ads"/>
    <s v="UPI"/>
    <n v="0.2"/>
    <s v="No"/>
    <s v="June"/>
  </r>
  <r>
    <n v="1412"/>
    <d v="2023-12-12T00:00:00"/>
    <x v="4"/>
    <s v="Football"/>
    <n v="1396"/>
    <n v="1"/>
    <n v="1396"/>
    <n v="30"/>
    <s v="Female"/>
    <s v="Mumbai"/>
    <s v="Instagram"/>
    <s v="UPI"/>
    <n v="0.05"/>
    <s v="Yes"/>
    <s v="December"/>
  </r>
  <r>
    <n v="1413"/>
    <d v="2023-12-10T00:00:00"/>
    <x v="5"/>
    <s v="Winter Jacket"/>
    <n v="440"/>
    <n v="5"/>
    <n v="2200"/>
    <n v="37"/>
    <s v="Male"/>
    <s v="Hyderabad"/>
    <s v="Organic Search"/>
    <s v="Credit Card"/>
    <n v="0.15"/>
    <s v="No"/>
    <s v="December"/>
  </r>
  <r>
    <n v="1414"/>
    <d v="2023-12-21T00:00:00"/>
    <x v="1"/>
    <s v="Cushions"/>
    <n v="44"/>
    <n v="2"/>
    <n v="88"/>
    <n v="60"/>
    <s v="Male"/>
    <s v="Ahmedabad"/>
    <s v="Instagram"/>
    <s v="Credit Card"/>
    <n v="0.1"/>
    <s v="Yes"/>
    <s v="December"/>
  </r>
  <r>
    <n v="1415"/>
    <d v="2023-02-26T00:00:00"/>
    <x v="3"/>
    <s v="Coffee"/>
    <n v="741"/>
    <n v="3"/>
    <n v="2223"/>
    <n v="21"/>
    <s v="Male"/>
    <s v="Hyderabad"/>
    <s v="Instagram"/>
    <s v="Cash on Delivery"/>
    <n v="0.05"/>
    <s v="Yes"/>
    <s v="February"/>
  </r>
  <r>
    <n v="1416"/>
    <d v="2023-03-10T00:00:00"/>
    <x v="4"/>
    <s v="Skipping Rope"/>
    <n v="1327"/>
    <n v="1"/>
    <n v="1327"/>
    <n v="59"/>
    <s v="Male"/>
    <s v="Pune"/>
    <s v="Facebook Ads"/>
    <s v="PayPal"/>
    <n v="0.3"/>
    <s v="Yes"/>
    <s v="March"/>
  </r>
  <r>
    <n v="1417"/>
    <d v="2023-04-07T00:00:00"/>
    <x v="0"/>
    <s v="Dollhouse"/>
    <n v="1084"/>
    <n v="5"/>
    <n v="5420"/>
    <n v="50"/>
    <s v="Male"/>
    <s v="Mumbai"/>
    <s v="Instagram"/>
    <s v="Cash on Delivery"/>
    <n v="0.25"/>
    <s v="No"/>
    <s v="April"/>
  </r>
  <r>
    <n v="1418"/>
    <d v="2023-12-06T00:00:00"/>
    <x v="4"/>
    <s v="Tennis Racket"/>
    <n v="549"/>
    <n v="2"/>
    <n v="1098"/>
    <n v="42"/>
    <s v="Female"/>
    <s v="Jaipur"/>
    <s v="Instagram"/>
    <s v="Cash on Delivery"/>
    <n v="0.2"/>
    <s v="Yes"/>
    <s v="December"/>
  </r>
  <r>
    <n v="1419"/>
    <d v="2023-10-27T00:00:00"/>
    <x v="3"/>
    <s v="Milk"/>
    <n v="872"/>
    <n v="3"/>
    <n v="2616"/>
    <n v="58"/>
    <s v="Female"/>
    <s v="Pune"/>
    <s v="Instagram"/>
    <s v="Debit Card"/>
    <n v="0.1"/>
    <s v="No"/>
    <s v="October"/>
  </r>
  <r>
    <n v="1420"/>
    <d v="2023-06-27T00:00:00"/>
    <x v="5"/>
    <s v="Sweater"/>
    <n v="919"/>
    <n v="1"/>
    <n v="919"/>
    <n v="37"/>
    <s v="Male"/>
    <s v="Bangalore"/>
    <s v="Organic Search"/>
    <s v="UPI"/>
    <n v="0.25"/>
    <s v="Yes"/>
    <s v="June"/>
  </r>
  <r>
    <n v="1421"/>
    <d v="2023-03-09T00:00:00"/>
    <x v="5"/>
    <s v="Sweater"/>
    <n v="199"/>
    <n v="1"/>
    <n v="199"/>
    <n v="38"/>
    <s v="Female"/>
    <s v="Jaipur"/>
    <s v="Organic Search"/>
    <s v="PayPal"/>
    <n v="0.2"/>
    <s v="No"/>
    <s v="March"/>
  </r>
  <r>
    <n v="1422"/>
    <d v="2023-06-22T00:00:00"/>
    <x v="2"/>
    <s v="Laptop"/>
    <n v="610"/>
    <n v="2"/>
    <n v="1220"/>
    <n v="34"/>
    <s v="Male"/>
    <s v="Lucknow"/>
    <s v="Organic Search"/>
    <s v="UPI"/>
    <n v="0.2"/>
    <s v="Yes"/>
    <s v="June"/>
  </r>
  <r>
    <n v="1423"/>
    <d v="2023-10-29T00:00:00"/>
    <x v="0"/>
    <s v="Dollhouse"/>
    <n v="1100"/>
    <n v="3"/>
    <n v="3300"/>
    <n v="59"/>
    <s v="Female"/>
    <s v="Chennai"/>
    <s v="Instagram"/>
    <s v="UPI"/>
    <n v="0.05"/>
    <s v="No"/>
    <s v="October"/>
  </r>
  <r>
    <n v="1424"/>
    <d v="2023-02-16T00:00:00"/>
    <x v="4"/>
    <s v="Skipping Rope"/>
    <n v="1096"/>
    <n v="4"/>
    <n v="4384"/>
    <n v="26"/>
    <s v="Female"/>
    <s v="Ahmedabad"/>
    <s v="Organic Search"/>
    <s v="PayPal"/>
    <n v="0.1"/>
    <s v="No"/>
    <s v="February"/>
  </r>
  <r>
    <n v="1425"/>
    <d v="2023-02-23T00:00:00"/>
    <x v="6"/>
    <s v="Boots"/>
    <n v="598"/>
    <n v="2"/>
    <n v="1196"/>
    <n v="51"/>
    <s v="Female"/>
    <s v="Jaipur"/>
    <s v="Google Ads"/>
    <s v="UPI"/>
    <n v="0.1"/>
    <s v="No"/>
    <s v="February"/>
  </r>
  <r>
    <n v="1426"/>
    <d v="2023-04-11T00:00:00"/>
    <x v="5"/>
    <s v="Winter Jacket"/>
    <n v="1441"/>
    <n v="1"/>
    <n v="1441"/>
    <n v="51"/>
    <s v="Male"/>
    <s v="Mumbai"/>
    <s v="Organic Search"/>
    <s v="PayPal"/>
    <n v="0.2"/>
    <s v="Yes"/>
    <s v="April"/>
  </r>
  <r>
    <n v="1427"/>
    <d v="2023-11-17T00:00:00"/>
    <x v="2"/>
    <s v="Tablet"/>
    <n v="1365"/>
    <n v="2"/>
    <n v="2730"/>
    <n v="55"/>
    <s v="Male"/>
    <s v="Jaipur"/>
    <s v="Instagram"/>
    <s v="Debit Card"/>
    <n v="0.25"/>
    <s v="Yes"/>
    <s v="November"/>
  </r>
  <r>
    <n v="1428"/>
    <d v="2023-12-17T00:00:00"/>
    <x v="6"/>
    <s v="Sneakers"/>
    <n v="545"/>
    <n v="3"/>
    <n v="1635"/>
    <n v="44"/>
    <s v="Male"/>
    <s v="Ahmedabad"/>
    <s v="Facebook Ads"/>
    <s v="Credit Card"/>
    <n v="0.15"/>
    <s v="Yes"/>
    <s v="December"/>
  </r>
  <r>
    <n v="1429"/>
    <d v="2023-01-26T00:00:00"/>
    <x v="5"/>
    <s v="Jeans"/>
    <n v="908"/>
    <n v="1"/>
    <n v="908"/>
    <n v="55"/>
    <s v="Female"/>
    <s v="Lucknow"/>
    <s v="Instagram"/>
    <s v="UPI"/>
    <n v="0.3"/>
    <s v="No"/>
    <s v="January"/>
  </r>
  <r>
    <n v="1430"/>
    <d v="2023-09-01T00:00:00"/>
    <x v="4"/>
    <s v="Basketball"/>
    <n v="333"/>
    <n v="4"/>
    <n v="1332"/>
    <n v="32"/>
    <s v="Female"/>
    <s v="Mumbai"/>
    <s v="Organic Search"/>
    <s v="Credit Card"/>
    <n v="0.1"/>
    <s v="Yes"/>
    <s v="September"/>
  </r>
  <r>
    <n v="1431"/>
    <d v="2023-08-13T00:00:00"/>
    <x v="3"/>
    <s v="Milk"/>
    <n v="187"/>
    <n v="5"/>
    <n v="935"/>
    <n v="27"/>
    <s v="Male"/>
    <s v="Jaipur"/>
    <s v="Google Ads"/>
    <s v="Cash on Delivery"/>
    <n v="0.1"/>
    <s v="Yes"/>
    <s v="August"/>
  </r>
  <r>
    <n v="1432"/>
    <d v="2023-08-18T00:00:00"/>
    <x v="1"/>
    <s v="Curtains"/>
    <n v="617"/>
    <n v="1"/>
    <n v="617"/>
    <n v="39"/>
    <s v="Female"/>
    <s v="Pune"/>
    <s v="Google Ads"/>
    <s v="Debit Card"/>
    <n v="0.3"/>
    <s v="Yes"/>
    <s v="August"/>
  </r>
  <r>
    <n v="1433"/>
    <d v="2023-09-20T00:00:00"/>
    <x v="4"/>
    <s v="Yoga Mat"/>
    <n v="1178"/>
    <n v="5"/>
    <n v="5890"/>
    <n v="25"/>
    <s v="Male"/>
    <s v="Mumbai"/>
    <s v="Google Ads"/>
    <s v="PayPal"/>
    <n v="0.15"/>
    <s v="Yes"/>
    <s v="September"/>
  </r>
  <r>
    <n v="1434"/>
    <d v="2023-11-03T00:00:00"/>
    <x v="3"/>
    <s v="Bread"/>
    <n v="1144"/>
    <n v="2"/>
    <n v="2288"/>
    <n v="42"/>
    <s v="Female"/>
    <s v="Lucknow"/>
    <s v="Instagram"/>
    <s v="Cash on Delivery"/>
    <n v="0.1"/>
    <s v="No"/>
    <s v="November"/>
  </r>
  <r>
    <n v="1435"/>
    <d v="2023-07-18T00:00:00"/>
    <x v="6"/>
    <s v="Sneakers"/>
    <n v="1365"/>
    <n v="1"/>
    <n v="1365"/>
    <n v="34"/>
    <s v="Female"/>
    <s v="Chennai"/>
    <s v="Instagram"/>
    <s v="Credit Card"/>
    <n v="0.2"/>
    <s v="No"/>
    <s v="July"/>
  </r>
  <r>
    <n v="1436"/>
    <d v="2023-11-16T00:00:00"/>
    <x v="2"/>
    <s v="Smartphone"/>
    <n v="180"/>
    <n v="5"/>
    <n v="900"/>
    <n v="58"/>
    <s v="Male"/>
    <s v="Mumbai"/>
    <s v="Instagram"/>
    <s v="UPI"/>
    <n v="0.3"/>
    <s v="Yes"/>
    <s v="November"/>
  </r>
  <r>
    <n v="1437"/>
    <d v="2023-08-04T00:00:00"/>
    <x v="1"/>
    <s v="Table Lamp"/>
    <n v="288"/>
    <n v="1"/>
    <n v="288"/>
    <n v="36"/>
    <s v="Female"/>
    <s v="Bangalore"/>
    <s v="Facebook Ads"/>
    <s v="Debit Card"/>
    <n v="0.3"/>
    <s v="Yes"/>
    <s v="August"/>
  </r>
  <r>
    <n v="1438"/>
    <d v="2023-12-25T00:00:00"/>
    <x v="5"/>
    <s v="Dress"/>
    <n v="34"/>
    <n v="1"/>
    <n v="34"/>
    <n v="43"/>
    <s v="Female"/>
    <s v="Jaipur"/>
    <s v="Organic Search"/>
    <s v="Credit Card"/>
    <n v="0.25"/>
    <s v="Yes"/>
    <s v="December"/>
  </r>
  <r>
    <n v="1439"/>
    <d v="2023-08-25T00:00:00"/>
    <x v="0"/>
    <s v="Remote Car"/>
    <n v="1250"/>
    <n v="2"/>
    <n v="2500"/>
    <n v="46"/>
    <s v="Female"/>
    <s v="Bangalore"/>
    <s v="Organic Search"/>
    <s v="UPI"/>
    <n v="0.3"/>
    <s v="Yes"/>
    <s v="August"/>
  </r>
  <r>
    <n v="1440"/>
    <d v="2023-11-21T00:00:00"/>
    <x v="2"/>
    <s v="Laptop"/>
    <n v="1271"/>
    <n v="5"/>
    <n v="6355"/>
    <n v="23"/>
    <s v="Female"/>
    <s v="Jaipur"/>
    <s v="Referral"/>
    <s v="Debit Card"/>
    <n v="0.15"/>
    <s v="Yes"/>
    <s v="November"/>
  </r>
  <r>
    <n v="1441"/>
    <d v="2023-05-31T00:00:00"/>
    <x v="0"/>
    <s v="Puzzle"/>
    <n v="242"/>
    <n v="2"/>
    <n v="484"/>
    <n v="39"/>
    <s v="Male"/>
    <s v="Delhi"/>
    <s v="Google Ads"/>
    <s v="Credit Card"/>
    <n v="0.05"/>
    <s v="Yes"/>
    <s v="May"/>
  </r>
  <r>
    <n v="1442"/>
    <d v="2023-01-17T00:00:00"/>
    <x v="3"/>
    <s v="Cereal Pack"/>
    <n v="150"/>
    <n v="2"/>
    <n v="300"/>
    <n v="27"/>
    <s v="Female"/>
    <s v="Ahmedabad"/>
    <s v="Google Ads"/>
    <s v="Cash on Delivery"/>
    <n v="0.3"/>
    <s v="No"/>
    <s v="January"/>
  </r>
  <r>
    <n v="1443"/>
    <d v="2023-02-14T00:00:00"/>
    <x v="5"/>
    <s v="Dress"/>
    <n v="463"/>
    <n v="4"/>
    <n v="1852"/>
    <n v="36"/>
    <s v="Male"/>
    <s v="Kolkata"/>
    <s v="Email Campaign"/>
    <s v="Cash on Delivery"/>
    <n v="0.15"/>
    <s v="No"/>
    <s v="February"/>
  </r>
  <r>
    <n v="1444"/>
    <d v="2023-09-27T00:00:00"/>
    <x v="3"/>
    <s v="Bread"/>
    <n v="604"/>
    <n v="4"/>
    <n v="2416"/>
    <n v="24"/>
    <s v="Male"/>
    <s v="Pune"/>
    <s v="Instagram"/>
    <s v="PayPal"/>
    <n v="0.3"/>
    <s v="Yes"/>
    <s v="September"/>
  </r>
  <r>
    <n v="1445"/>
    <d v="2023-10-30T00:00:00"/>
    <x v="4"/>
    <s v="Basketball"/>
    <n v="1452"/>
    <n v="2"/>
    <n v="2904"/>
    <n v="55"/>
    <s v="Male"/>
    <s v="Chennai"/>
    <s v="Organic Search"/>
    <s v="Debit Card"/>
    <n v="0.1"/>
    <s v="Yes"/>
    <s v="October"/>
  </r>
  <r>
    <n v="1446"/>
    <d v="2024-01-22T00:00:00"/>
    <x v="5"/>
    <s v="Sweater"/>
    <n v="398"/>
    <n v="1"/>
    <n v="398"/>
    <n v="21"/>
    <s v="Female"/>
    <s v="Chennai"/>
    <s v="Organic Search"/>
    <s v="Credit Card"/>
    <n v="0.25"/>
    <s v="Yes"/>
    <s v="January"/>
  </r>
  <r>
    <n v="1447"/>
    <d v="2023-01-31T00:00:00"/>
    <x v="4"/>
    <s v="Skipping Rope"/>
    <n v="340"/>
    <n v="4"/>
    <n v="1360"/>
    <n v="31"/>
    <s v="Female"/>
    <s v="Kolkata"/>
    <s v="Referral"/>
    <s v="Cash on Delivery"/>
    <n v="0.2"/>
    <s v="Yes"/>
    <s v="January"/>
  </r>
  <r>
    <n v="1448"/>
    <d v="2024-01-23T00:00:00"/>
    <x v="3"/>
    <s v="Organic Vegetables"/>
    <n v="896"/>
    <n v="2"/>
    <n v="1792"/>
    <n v="60"/>
    <s v="Male"/>
    <s v="Hyderabad"/>
    <s v="Referral"/>
    <s v="UPI"/>
    <n v="0.15"/>
    <s v="No"/>
    <s v="January"/>
  </r>
  <r>
    <n v="1449"/>
    <d v="2023-06-17T00:00:00"/>
    <x v="3"/>
    <s v="Milk"/>
    <n v="126"/>
    <n v="2"/>
    <n v="252"/>
    <n v="31"/>
    <s v="Male"/>
    <s v="Chennai"/>
    <s v="Google Ads"/>
    <s v="Debit Card"/>
    <n v="0.2"/>
    <s v="Yes"/>
    <s v="June"/>
  </r>
  <r>
    <n v="1450"/>
    <d v="2023-04-09T00:00:00"/>
    <x v="2"/>
    <s v="Headphones"/>
    <n v="929"/>
    <n v="4"/>
    <n v="3716"/>
    <n v="47"/>
    <s v="Male"/>
    <s v="Bangalore"/>
    <s v="Google Ads"/>
    <s v="Debit Card"/>
    <n v="0.1"/>
    <s v="No"/>
    <s v="April"/>
  </r>
  <r>
    <n v="1451"/>
    <d v="2023-01-26T00:00:00"/>
    <x v="1"/>
    <s v="Cushions"/>
    <n v="607"/>
    <n v="3"/>
    <n v="1821"/>
    <n v="52"/>
    <s v="Male"/>
    <s v="Kolkata"/>
    <s v="Facebook Ads"/>
    <s v="Debit Card"/>
    <n v="0.2"/>
    <s v="No"/>
    <s v="January"/>
  </r>
  <r>
    <n v="1452"/>
    <d v="2024-02-05T00:00:00"/>
    <x v="3"/>
    <s v="Milk"/>
    <n v="914"/>
    <n v="2"/>
    <n v="1828"/>
    <n v="45"/>
    <s v="Female"/>
    <s v="Chennai"/>
    <s v="Referral"/>
    <s v="Debit Card"/>
    <n v="0.15"/>
    <s v="No"/>
    <s v="February"/>
  </r>
  <r>
    <n v="1453"/>
    <d v="2023-12-27T00:00:00"/>
    <x v="6"/>
    <s v="Sneakers"/>
    <n v="535"/>
    <n v="4"/>
    <n v="2140"/>
    <n v="28"/>
    <s v="Male"/>
    <s v="Lucknow"/>
    <s v="Facebook Ads"/>
    <s v="Credit Card"/>
    <n v="0.2"/>
    <s v="No"/>
    <s v="December"/>
  </r>
  <r>
    <n v="1454"/>
    <d v="2023-02-25T00:00:00"/>
    <x v="2"/>
    <s v="Headphones"/>
    <n v="1092"/>
    <n v="3"/>
    <n v="3276"/>
    <n v="56"/>
    <s v="Male"/>
    <s v="Kolkata"/>
    <s v="Organic Search"/>
    <s v="Credit Card"/>
    <n v="0.15"/>
    <s v="No"/>
    <s v="February"/>
  </r>
  <r>
    <n v="1455"/>
    <d v="2023-09-08T00:00:00"/>
    <x v="5"/>
    <s v="Jeans"/>
    <n v="169"/>
    <n v="4"/>
    <n v="676"/>
    <n v="26"/>
    <s v="Female"/>
    <s v="Hyderabad"/>
    <s v="Facebook Ads"/>
    <s v="Credit Card"/>
    <n v="0.15"/>
    <s v="No"/>
    <s v="September"/>
  </r>
  <r>
    <n v="1456"/>
    <d v="2023-11-03T00:00:00"/>
    <x v="2"/>
    <s v="Smartphone"/>
    <n v="906"/>
    <n v="3"/>
    <n v="2718"/>
    <n v="40"/>
    <s v="Male"/>
    <s v="Pune"/>
    <s v="Email Campaign"/>
    <s v="Cash on Delivery"/>
    <n v="0.15"/>
    <s v="No"/>
    <s v="November"/>
  </r>
  <r>
    <n v="1457"/>
    <d v="2023-09-04T00:00:00"/>
    <x v="4"/>
    <s v="Basketball"/>
    <n v="707"/>
    <n v="4"/>
    <n v="2828"/>
    <n v="55"/>
    <s v="Female"/>
    <s v="Hyderabad"/>
    <s v="Google Ads"/>
    <s v="Debit Card"/>
    <n v="0.05"/>
    <s v="No"/>
    <s v="September"/>
  </r>
  <r>
    <n v="1458"/>
    <d v="2023-06-04T00:00:00"/>
    <x v="6"/>
    <s v="Boots"/>
    <n v="322"/>
    <n v="3"/>
    <n v="966"/>
    <n v="55"/>
    <s v="Male"/>
    <s v="Jaipur"/>
    <s v="Organic Search"/>
    <s v="UPI"/>
    <n v="0.3"/>
    <s v="No"/>
    <s v="June"/>
  </r>
  <r>
    <n v="1459"/>
    <d v="2023-05-03T00:00:00"/>
    <x v="2"/>
    <s v="Smartphone"/>
    <n v="1072"/>
    <n v="1"/>
    <n v="1072"/>
    <n v="37"/>
    <s v="Male"/>
    <s v="Pune"/>
    <s v="Email Campaign"/>
    <s v="Credit Card"/>
    <n v="0.3"/>
    <s v="Yes"/>
    <s v="May"/>
  </r>
  <r>
    <n v="1460"/>
    <d v="2023-07-20T00:00:00"/>
    <x v="6"/>
    <s v="Sandals"/>
    <n v="912"/>
    <n v="4"/>
    <n v="3648"/>
    <n v="44"/>
    <s v="Female"/>
    <s v="Ahmedabad"/>
    <s v="Referral"/>
    <s v="PayPal"/>
    <n v="0.2"/>
    <s v="Yes"/>
    <s v="July"/>
  </r>
  <r>
    <n v="1461"/>
    <d v="2023-01-05T00:00:00"/>
    <x v="3"/>
    <s v="Bread"/>
    <n v="1410"/>
    <n v="1"/>
    <n v="1410"/>
    <n v="37"/>
    <s v="Female"/>
    <s v="Mumbai"/>
    <s v="Organic Search"/>
    <s v="UPI"/>
    <n v="0.2"/>
    <s v="Yes"/>
    <s v="January"/>
  </r>
  <r>
    <n v="1462"/>
    <d v="2023-09-06T00:00:00"/>
    <x v="6"/>
    <s v="Sneakers"/>
    <n v="1442"/>
    <n v="4"/>
    <n v="5768"/>
    <n v="39"/>
    <s v="Female"/>
    <s v="Delhi"/>
    <s v="Google Ads"/>
    <s v="UPI"/>
    <n v="0.25"/>
    <s v="No"/>
    <s v="September"/>
  </r>
  <r>
    <n v="1463"/>
    <d v="2023-05-23T00:00:00"/>
    <x v="2"/>
    <s v="Laptop"/>
    <n v="24"/>
    <n v="5"/>
    <n v="120"/>
    <n v="35"/>
    <s v="Female"/>
    <s v="Ahmedabad"/>
    <s v="Google Ads"/>
    <s v="Cash on Delivery"/>
    <n v="0.05"/>
    <s v="No"/>
    <s v="May"/>
  </r>
  <r>
    <n v="1464"/>
    <d v="2023-11-26T00:00:00"/>
    <x v="4"/>
    <s v="Basketball"/>
    <n v="673"/>
    <n v="2"/>
    <n v="1346"/>
    <n v="36"/>
    <s v="Female"/>
    <s v="Bangalore"/>
    <s v="Instagram"/>
    <s v="Debit Card"/>
    <n v="0.25"/>
    <s v="No"/>
    <s v="November"/>
  </r>
  <r>
    <n v="1465"/>
    <d v="2023-10-29T00:00:00"/>
    <x v="4"/>
    <s v="Basketball"/>
    <n v="1189"/>
    <n v="1"/>
    <n v="1189"/>
    <n v="57"/>
    <s v="Female"/>
    <s v="Hyderabad"/>
    <s v="Referral"/>
    <s v="PayPal"/>
    <n v="0.3"/>
    <s v="No"/>
    <s v="October"/>
  </r>
  <r>
    <n v="1466"/>
    <d v="2023-05-18T00:00:00"/>
    <x v="6"/>
    <s v="Running Shoes"/>
    <n v="671"/>
    <n v="4"/>
    <n v="2684"/>
    <n v="58"/>
    <s v="Male"/>
    <s v="Chennai"/>
    <s v="Email Campaign"/>
    <s v="Credit Card"/>
    <n v="0.2"/>
    <s v="Yes"/>
    <s v="May"/>
  </r>
  <r>
    <n v="1467"/>
    <d v="2023-08-08T00:00:00"/>
    <x v="0"/>
    <s v="Lego Set"/>
    <n v="1053"/>
    <n v="2"/>
    <n v="2106"/>
    <n v="47"/>
    <s v="Male"/>
    <s v="Chennai"/>
    <s v="Email Campaign"/>
    <s v="Credit Card"/>
    <n v="0.25"/>
    <s v="Yes"/>
    <s v="August"/>
  </r>
  <r>
    <n v="1468"/>
    <d v="2023-09-17T00:00:00"/>
    <x v="2"/>
    <s v="Tablet"/>
    <n v="1395"/>
    <n v="2"/>
    <n v="2790"/>
    <n v="57"/>
    <s v="Male"/>
    <s v="Hyderabad"/>
    <s v="Referral"/>
    <s v="Debit Card"/>
    <n v="0.3"/>
    <s v="Yes"/>
    <s v="September"/>
  </r>
  <r>
    <n v="1469"/>
    <d v="2023-08-09T00:00:00"/>
    <x v="6"/>
    <s v="Formal Shoes"/>
    <n v="1462"/>
    <n v="1"/>
    <n v="1462"/>
    <n v="59"/>
    <s v="Female"/>
    <s v="Kolkata"/>
    <s v="Email Campaign"/>
    <s v="Debit Card"/>
    <n v="0.05"/>
    <s v="Yes"/>
    <s v="August"/>
  </r>
  <r>
    <n v="1470"/>
    <d v="2023-01-14T00:00:00"/>
    <x v="0"/>
    <s v="Dollhouse"/>
    <n v="441"/>
    <n v="2"/>
    <n v="882"/>
    <n v="48"/>
    <s v="Male"/>
    <s v="Mumbai"/>
    <s v="Google Ads"/>
    <s v="UPI"/>
    <n v="0.2"/>
    <s v="No"/>
    <s v="January"/>
  </r>
  <r>
    <n v="1471"/>
    <d v="2023-09-29T00:00:00"/>
    <x v="6"/>
    <s v="Running Shoes"/>
    <n v="1006"/>
    <n v="2"/>
    <n v="2012"/>
    <n v="54"/>
    <s v="Female"/>
    <s v="Lucknow"/>
    <s v="Instagram"/>
    <s v="UPI"/>
    <n v="0.25"/>
    <s v="No"/>
    <s v="September"/>
  </r>
  <r>
    <n v="1472"/>
    <d v="2023-06-12T00:00:00"/>
    <x v="3"/>
    <s v="Cereal Pack"/>
    <n v="346"/>
    <n v="4"/>
    <n v="1384"/>
    <n v="49"/>
    <s v="Male"/>
    <s v="Lucknow"/>
    <s v="Referral"/>
    <s v="Debit Card"/>
    <n v="0.25"/>
    <s v="Yes"/>
    <s v="June"/>
  </r>
  <r>
    <n v="1473"/>
    <d v="2023-11-20T00:00:00"/>
    <x v="6"/>
    <s v="Formal Shoes"/>
    <n v="801"/>
    <n v="5"/>
    <n v="4005"/>
    <n v="47"/>
    <s v="Female"/>
    <s v="Chennai"/>
    <s v="Referral"/>
    <s v="PayPal"/>
    <n v="0.1"/>
    <s v="No"/>
    <s v="November"/>
  </r>
  <r>
    <n v="1474"/>
    <d v="2023-02-26T00:00:00"/>
    <x v="1"/>
    <s v="Table Lamp"/>
    <n v="530"/>
    <n v="5"/>
    <n v="2650"/>
    <n v="36"/>
    <s v="Male"/>
    <s v="Bangalore"/>
    <s v="Facebook Ads"/>
    <s v="Debit Card"/>
    <n v="0.3"/>
    <s v="Yes"/>
    <s v="February"/>
  </r>
  <r>
    <n v="1475"/>
    <d v="2023-06-19T00:00:00"/>
    <x v="0"/>
    <s v="Dollhouse"/>
    <n v="21"/>
    <n v="5"/>
    <n v="105"/>
    <n v="25"/>
    <s v="Female"/>
    <s v="Jaipur"/>
    <s v="Google Ads"/>
    <s v="Cash on Delivery"/>
    <n v="0.1"/>
    <s v="Yes"/>
    <s v="June"/>
  </r>
  <r>
    <n v="1476"/>
    <d v="2023-11-14T00:00:00"/>
    <x v="5"/>
    <s v="Jeans"/>
    <n v="1227"/>
    <n v="2"/>
    <n v="2454"/>
    <n v="18"/>
    <s v="Female"/>
    <s v="Hyderabad"/>
    <s v="Facebook Ads"/>
    <s v="PayPal"/>
    <n v="0.3"/>
    <s v="Yes"/>
    <s v="November"/>
  </r>
  <r>
    <n v="1477"/>
    <d v="2023-11-19T00:00:00"/>
    <x v="0"/>
    <s v="Dollhouse"/>
    <n v="363"/>
    <n v="5"/>
    <n v="1815"/>
    <n v="49"/>
    <s v="Female"/>
    <s v="Delhi"/>
    <s v="Referral"/>
    <s v="Debit Card"/>
    <n v="0.1"/>
    <s v="No"/>
    <s v="November"/>
  </r>
  <r>
    <n v="1478"/>
    <d v="2023-10-05T00:00:00"/>
    <x v="2"/>
    <s v="Smartphone"/>
    <n v="852"/>
    <n v="3"/>
    <n v="2556"/>
    <n v="39"/>
    <s v="Male"/>
    <s v="Kolkata"/>
    <s v="Instagram"/>
    <s v="Debit Card"/>
    <n v="0.05"/>
    <s v="No"/>
    <s v="October"/>
  </r>
  <r>
    <n v="1479"/>
    <d v="2023-09-07T00:00:00"/>
    <x v="6"/>
    <s v="Sneakers"/>
    <n v="327"/>
    <n v="5"/>
    <n v="1635"/>
    <n v="29"/>
    <s v="Male"/>
    <s v="Mumbai"/>
    <s v="Instagram"/>
    <s v="PayPal"/>
    <n v="0.25"/>
    <s v="No"/>
    <s v="September"/>
  </r>
  <r>
    <n v="1480"/>
    <d v="2023-11-05T00:00:00"/>
    <x v="2"/>
    <s v="Tablet"/>
    <n v="1383"/>
    <n v="4"/>
    <n v="5532"/>
    <n v="35"/>
    <s v="Male"/>
    <s v="Pune"/>
    <s v="Email Campaign"/>
    <s v="Cash on Delivery"/>
    <n v="0.05"/>
    <s v="Yes"/>
    <s v="November"/>
  </r>
  <r>
    <n v="1481"/>
    <d v="2023-06-20T00:00:00"/>
    <x v="4"/>
    <s v="Tennis Racket"/>
    <n v="758"/>
    <n v="4"/>
    <n v="3032"/>
    <n v="57"/>
    <s v="Female"/>
    <s v="Kolkata"/>
    <s v="Instagram"/>
    <s v="PayPal"/>
    <n v="0.15"/>
    <s v="Yes"/>
    <s v="June"/>
  </r>
  <r>
    <n v="1482"/>
    <d v="2023-07-02T00:00:00"/>
    <x v="0"/>
    <s v="Puzzle"/>
    <n v="1271"/>
    <n v="2"/>
    <n v="2542"/>
    <n v="33"/>
    <s v="Female"/>
    <s v="Jaipur"/>
    <s v="Google Ads"/>
    <s v="UPI"/>
    <n v="0.05"/>
    <s v="No"/>
    <s v="July"/>
  </r>
  <r>
    <n v="1483"/>
    <d v="2023-05-23T00:00:00"/>
    <x v="6"/>
    <s v="Boots"/>
    <n v="951"/>
    <n v="1"/>
    <n v="951"/>
    <n v="27"/>
    <s v="Female"/>
    <s v="Bangalore"/>
    <s v="Google Ads"/>
    <s v="Cash on Delivery"/>
    <n v="0.1"/>
    <s v="Yes"/>
    <s v="May"/>
  </r>
  <r>
    <n v="1484"/>
    <d v="2023-10-24T00:00:00"/>
    <x v="1"/>
    <s v="Table Lamp"/>
    <n v="383"/>
    <n v="5"/>
    <n v="1915"/>
    <n v="20"/>
    <s v="Female"/>
    <s v="Delhi"/>
    <s v="Organic Search"/>
    <s v="Credit Card"/>
    <n v="0.05"/>
    <s v="Yes"/>
    <s v="October"/>
  </r>
  <r>
    <n v="1485"/>
    <d v="2023-12-31T00:00:00"/>
    <x v="5"/>
    <s v="Dress"/>
    <n v="153"/>
    <n v="5"/>
    <n v="765"/>
    <n v="44"/>
    <s v="Male"/>
    <s v="Ahmedabad"/>
    <s v="Google Ads"/>
    <s v="Cash on Delivery"/>
    <n v="0.05"/>
    <s v="No"/>
    <s v="December"/>
  </r>
  <r>
    <n v="1486"/>
    <d v="2023-08-24T00:00:00"/>
    <x v="1"/>
    <s v="Cushions"/>
    <n v="1345"/>
    <n v="5"/>
    <n v="6725"/>
    <n v="43"/>
    <s v="Male"/>
    <s v="Kolkata"/>
    <s v="Facebook Ads"/>
    <s v="PayPal"/>
    <n v="0.1"/>
    <s v="No"/>
    <s v="August"/>
  </r>
  <r>
    <n v="1487"/>
    <d v="2023-02-22T00:00:00"/>
    <x v="5"/>
    <s v="Sweater"/>
    <n v="1438"/>
    <n v="1"/>
    <n v="1438"/>
    <n v="59"/>
    <s v="Male"/>
    <s v="Lucknow"/>
    <s v="Email Campaign"/>
    <s v="PayPal"/>
    <n v="0.05"/>
    <s v="No"/>
    <s v="February"/>
  </r>
  <r>
    <n v="1488"/>
    <d v="2023-08-11T00:00:00"/>
    <x v="2"/>
    <s v="Headphones"/>
    <n v="1002"/>
    <n v="1"/>
    <n v="1002"/>
    <n v="19"/>
    <s v="Male"/>
    <s v="Chennai"/>
    <s v="Organic Search"/>
    <s v="Credit Card"/>
    <n v="0.15"/>
    <s v="Yes"/>
    <s v="August"/>
  </r>
  <r>
    <n v="1489"/>
    <d v="2023-10-01T00:00:00"/>
    <x v="0"/>
    <s v="Lego Set"/>
    <n v="817"/>
    <n v="5"/>
    <n v="4085"/>
    <n v="18"/>
    <s v="Male"/>
    <s v="Chennai"/>
    <s v="Email Campaign"/>
    <s v="Cash on Delivery"/>
    <n v="0.1"/>
    <s v="Yes"/>
    <s v="October"/>
  </r>
  <r>
    <n v="1490"/>
    <d v="2023-12-22T00:00:00"/>
    <x v="0"/>
    <s v="Board Game"/>
    <n v="618"/>
    <n v="3"/>
    <n v="1854"/>
    <n v="43"/>
    <s v="Male"/>
    <s v="Mumbai"/>
    <s v="Referral"/>
    <s v="Cash on Delivery"/>
    <n v="0.25"/>
    <s v="Yes"/>
    <s v="December"/>
  </r>
  <r>
    <n v="1491"/>
    <d v="2023-10-06T00:00:00"/>
    <x v="3"/>
    <s v="Bread"/>
    <n v="1095"/>
    <n v="3"/>
    <n v="3285"/>
    <n v="20"/>
    <s v="Female"/>
    <s v="Hyderabad"/>
    <s v="Referral"/>
    <s v="Credit Card"/>
    <n v="0.05"/>
    <s v="No"/>
    <s v="October"/>
  </r>
  <r>
    <n v="1492"/>
    <d v="2023-03-12T00:00:00"/>
    <x v="4"/>
    <s v="Football"/>
    <n v="1394"/>
    <n v="3"/>
    <n v="4182"/>
    <n v="24"/>
    <s v="Male"/>
    <s v="Chennai"/>
    <s v="Referral"/>
    <s v="Cash on Delivery"/>
    <n v="0.15"/>
    <s v="No"/>
    <s v="March"/>
  </r>
  <r>
    <n v="1493"/>
    <d v="2024-01-16T00:00:00"/>
    <x v="0"/>
    <s v="Dollhouse"/>
    <n v="441"/>
    <n v="3"/>
    <n v="1323"/>
    <n v="19"/>
    <s v="Male"/>
    <s v="Ahmedabad"/>
    <s v="Instagram"/>
    <s v="Cash on Delivery"/>
    <n v="0.05"/>
    <s v="Yes"/>
    <s v="January"/>
  </r>
  <r>
    <n v="1494"/>
    <d v="2023-06-26T00:00:00"/>
    <x v="0"/>
    <s v="Puzzle"/>
    <n v="840"/>
    <n v="3"/>
    <n v="2520"/>
    <n v="53"/>
    <s v="Male"/>
    <s v="Hyderabad"/>
    <s v="Instagram"/>
    <s v="PayPal"/>
    <n v="0.2"/>
    <s v="Yes"/>
    <s v="June"/>
  </r>
  <r>
    <n v="1495"/>
    <d v="2023-06-27T00:00:00"/>
    <x v="1"/>
    <s v="Cushions"/>
    <n v="1078"/>
    <n v="1"/>
    <n v="1078"/>
    <n v="55"/>
    <s v="Female"/>
    <s v="Lucknow"/>
    <s v="Instagram"/>
    <s v="UPI"/>
    <n v="0.05"/>
    <s v="No"/>
    <s v="June"/>
  </r>
  <r>
    <n v="1496"/>
    <d v="2023-06-06T00:00:00"/>
    <x v="5"/>
    <s v="Jeans"/>
    <n v="557"/>
    <n v="5"/>
    <n v="2785"/>
    <n v="49"/>
    <s v="Male"/>
    <s v="Pune"/>
    <s v="Google Ads"/>
    <s v="Cash on Delivery"/>
    <n v="0.3"/>
    <s v="Yes"/>
    <s v="June"/>
  </r>
  <r>
    <n v="1497"/>
    <d v="2023-03-28T00:00:00"/>
    <x v="1"/>
    <s v="Curtains"/>
    <n v="1493"/>
    <n v="5"/>
    <n v="7465"/>
    <n v="51"/>
    <s v="Male"/>
    <s v="Kolkata"/>
    <s v="Instagram"/>
    <s v="Debit Card"/>
    <n v="0.15"/>
    <s v="No"/>
    <s v="March"/>
  </r>
  <r>
    <n v="1498"/>
    <d v="2023-09-17T00:00:00"/>
    <x v="1"/>
    <s v="Curtains"/>
    <n v="1228"/>
    <n v="4"/>
    <n v="4912"/>
    <n v="45"/>
    <s v="Male"/>
    <s v="Mumbai"/>
    <s v="Organic Search"/>
    <s v="Debit Card"/>
    <n v="0.15"/>
    <s v="No"/>
    <s v="September"/>
  </r>
  <r>
    <n v="1499"/>
    <d v="2023-11-17T00:00:00"/>
    <x v="5"/>
    <s v="Winter Jacket"/>
    <n v="1085"/>
    <n v="3"/>
    <n v="3255"/>
    <n v="58"/>
    <s v="Male"/>
    <s v="Jaipur"/>
    <s v="Google Ads"/>
    <s v="Credit Card"/>
    <n v="0.3"/>
    <s v="No"/>
    <s v="November"/>
  </r>
  <r>
    <n v="1500"/>
    <d v="2023-11-28T00:00:00"/>
    <x v="5"/>
    <s v="Dress"/>
    <n v="715"/>
    <n v="2"/>
    <n v="1430"/>
    <n v="51"/>
    <s v="Female"/>
    <s v="Lucknow"/>
    <s v="Google Ads"/>
    <s v="UPI"/>
    <n v="0.3"/>
    <s v="No"/>
    <s v="November"/>
  </r>
  <r>
    <n v="1501"/>
    <d v="2023-11-05T00:00:00"/>
    <x v="6"/>
    <s v="Running Shoes"/>
    <n v="38"/>
    <n v="5"/>
    <n v="190"/>
    <n v="49"/>
    <s v="Female"/>
    <s v="Kolkata"/>
    <s v="Email Campaign"/>
    <s v="Cash on Delivery"/>
    <n v="0.3"/>
    <s v="Yes"/>
    <s v="November"/>
  </r>
  <r>
    <n v="1502"/>
    <d v="2023-12-21T00:00:00"/>
    <x v="1"/>
    <s v="Curtains"/>
    <n v="804"/>
    <n v="3"/>
    <n v="2412"/>
    <n v="48"/>
    <s v="Female"/>
    <s v="Delhi"/>
    <s v="Organic Search"/>
    <s v="Debit Card"/>
    <n v="0.25"/>
    <s v="Yes"/>
    <s v="December"/>
  </r>
  <r>
    <n v="1503"/>
    <d v="2023-10-21T00:00:00"/>
    <x v="5"/>
    <s v="Sweater"/>
    <n v="718"/>
    <n v="1"/>
    <n v="718"/>
    <n v="23"/>
    <s v="Female"/>
    <s v="Mumbai"/>
    <s v="Facebook Ads"/>
    <s v="UPI"/>
    <n v="0.25"/>
    <s v="Yes"/>
    <s v="October"/>
  </r>
  <r>
    <n v="1504"/>
    <d v="2023-08-03T00:00:00"/>
    <x v="0"/>
    <s v="Board Game"/>
    <n v="1438"/>
    <n v="5"/>
    <n v="7190"/>
    <n v="25"/>
    <s v="Male"/>
    <s v="Kolkata"/>
    <s v="Google Ads"/>
    <s v="UPI"/>
    <n v="0.05"/>
    <s v="Yes"/>
    <s v="August"/>
  </r>
  <r>
    <n v="1505"/>
    <d v="2023-10-27T00:00:00"/>
    <x v="6"/>
    <s v="Boots"/>
    <n v="1317"/>
    <n v="4"/>
    <n v="5268"/>
    <n v="18"/>
    <s v="Female"/>
    <s v="Mumbai"/>
    <s v="Google Ads"/>
    <s v="Credit Card"/>
    <n v="0.1"/>
    <s v="No"/>
    <s v="October"/>
  </r>
  <r>
    <n v="1506"/>
    <d v="2024-01-12T00:00:00"/>
    <x v="4"/>
    <s v="Tennis Racket"/>
    <n v="425"/>
    <n v="3"/>
    <n v="1275"/>
    <n v="39"/>
    <s v="Male"/>
    <s v="Pune"/>
    <s v="Facebook Ads"/>
    <s v="Cash on Delivery"/>
    <n v="0.25"/>
    <s v="No"/>
    <s v="January"/>
  </r>
  <r>
    <n v="1507"/>
    <d v="2023-12-21T00:00:00"/>
    <x v="4"/>
    <s v="Skipping Rope"/>
    <n v="809"/>
    <n v="2"/>
    <n v="1618"/>
    <n v="28"/>
    <s v="Male"/>
    <s v="Pune"/>
    <s v="Facebook Ads"/>
    <s v="Cash on Delivery"/>
    <n v="0.1"/>
    <s v="No"/>
    <s v="December"/>
  </r>
  <r>
    <n v="1508"/>
    <d v="2023-01-29T00:00:00"/>
    <x v="1"/>
    <s v="Cushions"/>
    <n v="1110"/>
    <n v="1"/>
    <n v="1110"/>
    <n v="28"/>
    <s v="Female"/>
    <s v="Jaipur"/>
    <s v="Instagram"/>
    <s v="Debit Card"/>
    <n v="0.25"/>
    <s v="Yes"/>
    <s v="January"/>
  </r>
  <r>
    <n v="1509"/>
    <d v="2023-10-03T00:00:00"/>
    <x v="0"/>
    <s v="Remote Car"/>
    <n v="571"/>
    <n v="3"/>
    <n v="1713"/>
    <n v="27"/>
    <s v="Female"/>
    <s v="Mumbai"/>
    <s v="Facebook Ads"/>
    <s v="Credit Card"/>
    <n v="0.15"/>
    <s v="Yes"/>
    <s v="October"/>
  </r>
  <r>
    <n v="1510"/>
    <d v="2023-08-03T00:00:00"/>
    <x v="1"/>
    <s v="Table Lamp"/>
    <n v="441"/>
    <n v="1"/>
    <n v="441"/>
    <n v="47"/>
    <s v="Male"/>
    <s v="Pune"/>
    <s v="Referral"/>
    <s v="PayPal"/>
    <n v="0.15"/>
    <s v="Yes"/>
    <s v="August"/>
  </r>
  <r>
    <n v="1511"/>
    <d v="2023-05-24T00:00:00"/>
    <x v="4"/>
    <s v="Tennis Racket"/>
    <n v="43"/>
    <n v="5"/>
    <n v="215"/>
    <n v="41"/>
    <s v="Male"/>
    <s v="Pune"/>
    <s v="Instagram"/>
    <s v="Credit Card"/>
    <n v="0.15"/>
    <s v="Yes"/>
    <s v="May"/>
  </r>
  <r>
    <n v="1512"/>
    <d v="2023-05-12T00:00:00"/>
    <x v="4"/>
    <s v="Tennis Racket"/>
    <n v="1242"/>
    <n v="2"/>
    <n v="2484"/>
    <n v="48"/>
    <s v="Male"/>
    <s v="Bangalore"/>
    <s v="Google Ads"/>
    <s v="Debit Card"/>
    <n v="0.3"/>
    <s v="No"/>
    <s v="May"/>
  </r>
  <r>
    <n v="1513"/>
    <d v="2023-01-21T00:00:00"/>
    <x v="0"/>
    <s v="Lego Set"/>
    <n v="1397"/>
    <n v="4"/>
    <n v="5588"/>
    <n v="50"/>
    <s v="Female"/>
    <s v="Hyderabad"/>
    <s v="Google Ads"/>
    <s v="PayPal"/>
    <n v="0.15"/>
    <s v="No"/>
    <s v="January"/>
  </r>
  <r>
    <n v="1514"/>
    <d v="2023-02-09T00:00:00"/>
    <x v="2"/>
    <s v="Smartwatch"/>
    <n v="991"/>
    <n v="4"/>
    <n v="3964"/>
    <n v="52"/>
    <s v="Female"/>
    <s v="Jaipur"/>
    <s v="Referral"/>
    <s v="UPI"/>
    <n v="0.3"/>
    <s v="No"/>
    <s v="February"/>
  </r>
  <r>
    <n v="1515"/>
    <d v="2023-01-23T00:00:00"/>
    <x v="6"/>
    <s v="Boots"/>
    <n v="746"/>
    <n v="1"/>
    <n v="746"/>
    <n v="19"/>
    <s v="Male"/>
    <s v="Pune"/>
    <s v="Instagram"/>
    <s v="UPI"/>
    <n v="0.25"/>
    <s v="No"/>
    <s v="January"/>
  </r>
  <r>
    <n v="1516"/>
    <d v="2023-05-31T00:00:00"/>
    <x v="0"/>
    <s v="Dollhouse"/>
    <n v="168"/>
    <n v="1"/>
    <n v="168"/>
    <n v="57"/>
    <s v="Male"/>
    <s v="Ahmedabad"/>
    <s v="Email Campaign"/>
    <s v="Cash on Delivery"/>
    <n v="0.25"/>
    <s v="Yes"/>
    <s v="May"/>
  </r>
  <r>
    <n v="1517"/>
    <d v="2024-01-31T00:00:00"/>
    <x v="1"/>
    <s v="Cushions"/>
    <n v="1077"/>
    <n v="1"/>
    <n v="1077"/>
    <n v="49"/>
    <s v="Female"/>
    <s v="Hyderabad"/>
    <s v="Google Ads"/>
    <s v="Debit Card"/>
    <n v="0.15"/>
    <s v="No"/>
    <s v="January"/>
  </r>
  <r>
    <n v="1518"/>
    <d v="2023-11-15T00:00:00"/>
    <x v="4"/>
    <s v="Yoga Mat"/>
    <n v="183"/>
    <n v="4"/>
    <n v="732"/>
    <n v="49"/>
    <s v="Female"/>
    <s v="Kolkata"/>
    <s v="Email Campaign"/>
    <s v="PayPal"/>
    <n v="0.3"/>
    <s v="No"/>
    <s v="November"/>
  </r>
  <r>
    <n v="1519"/>
    <d v="2023-11-22T00:00:00"/>
    <x v="4"/>
    <s v="Yoga Mat"/>
    <n v="490"/>
    <n v="2"/>
    <n v="980"/>
    <n v="18"/>
    <s v="Female"/>
    <s v="Jaipur"/>
    <s v="Facebook Ads"/>
    <s v="Cash on Delivery"/>
    <n v="0.25"/>
    <s v="Yes"/>
    <s v="November"/>
  </r>
  <r>
    <n v="1520"/>
    <d v="2023-09-26T00:00:00"/>
    <x v="5"/>
    <s v="Winter Jacket"/>
    <n v="1465"/>
    <n v="1"/>
    <n v="1465"/>
    <n v="32"/>
    <s v="Male"/>
    <s v="Chennai"/>
    <s v="Organic Search"/>
    <s v="Cash on Delivery"/>
    <n v="0.25"/>
    <s v="No"/>
    <s v="September"/>
  </r>
  <r>
    <n v="1521"/>
    <d v="2023-07-23T00:00:00"/>
    <x v="6"/>
    <s v="Formal Shoes"/>
    <n v="362"/>
    <n v="4"/>
    <n v="1448"/>
    <n v="59"/>
    <s v="Female"/>
    <s v="Hyderabad"/>
    <s v="Instagram"/>
    <s v="UPI"/>
    <n v="0.05"/>
    <s v="No"/>
    <s v="July"/>
  </r>
  <r>
    <n v="1522"/>
    <d v="2023-05-12T00:00:00"/>
    <x v="5"/>
    <s v="Jeans"/>
    <n v="589"/>
    <n v="5"/>
    <n v="2945"/>
    <n v="26"/>
    <s v="Male"/>
    <s v="Jaipur"/>
    <s v="Google Ads"/>
    <s v="Debit Card"/>
    <n v="0.25"/>
    <s v="Yes"/>
    <s v="May"/>
  </r>
  <r>
    <n v="1523"/>
    <d v="2023-04-18T00:00:00"/>
    <x v="0"/>
    <s v="Dollhouse"/>
    <n v="849"/>
    <n v="4"/>
    <n v="3396"/>
    <n v="21"/>
    <s v="Male"/>
    <s v="Chennai"/>
    <s v="Facebook Ads"/>
    <s v="Cash on Delivery"/>
    <n v="0.05"/>
    <s v="No"/>
    <s v="April"/>
  </r>
  <r>
    <n v="1524"/>
    <d v="2023-03-07T00:00:00"/>
    <x v="5"/>
    <s v="T-shirt"/>
    <n v="69"/>
    <n v="2"/>
    <n v="138"/>
    <n v="19"/>
    <s v="Male"/>
    <s v="Delhi"/>
    <s v="Google Ads"/>
    <s v="UPI"/>
    <n v="0.1"/>
    <s v="Yes"/>
    <s v="March"/>
  </r>
  <r>
    <n v="1525"/>
    <d v="2023-07-11T00:00:00"/>
    <x v="4"/>
    <s v="Skipping Rope"/>
    <n v="1255"/>
    <n v="5"/>
    <n v="6275"/>
    <n v="52"/>
    <s v="Male"/>
    <s v="Jaipur"/>
    <s v="Facebook Ads"/>
    <s v="Debit Card"/>
    <n v="0.05"/>
    <s v="No"/>
    <s v="July"/>
  </r>
  <r>
    <n v="1526"/>
    <d v="2024-01-22T00:00:00"/>
    <x v="1"/>
    <s v="Wall Art"/>
    <n v="1023"/>
    <n v="1"/>
    <n v="1023"/>
    <n v="37"/>
    <s v="Female"/>
    <s v="Chennai"/>
    <s v="Email Campaign"/>
    <s v="Credit Card"/>
    <n v="0.2"/>
    <s v="Yes"/>
    <s v="January"/>
  </r>
  <r>
    <n v="1527"/>
    <d v="2023-09-27T00:00:00"/>
    <x v="3"/>
    <s v="Bread"/>
    <n v="485"/>
    <n v="4"/>
    <n v="1940"/>
    <n v="56"/>
    <s v="Female"/>
    <s v="Pune"/>
    <s v="Facebook Ads"/>
    <s v="Credit Card"/>
    <n v="0.3"/>
    <s v="Yes"/>
    <s v="September"/>
  </r>
  <r>
    <n v="1528"/>
    <d v="2023-09-30T00:00:00"/>
    <x v="3"/>
    <s v="Coffee"/>
    <n v="1161"/>
    <n v="2"/>
    <n v="2322"/>
    <n v="55"/>
    <s v="Female"/>
    <s v="Bangalore"/>
    <s v="Google Ads"/>
    <s v="PayPal"/>
    <n v="0.05"/>
    <s v="Yes"/>
    <s v="September"/>
  </r>
  <r>
    <n v="1529"/>
    <d v="2023-11-11T00:00:00"/>
    <x v="6"/>
    <s v="Sandals"/>
    <n v="1292"/>
    <n v="3"/>
    <n v="3876"/>
    <n v="45"/>
    <s v="Male"/>
    <s v="Delhi"/>
    <s v="Google Ads"/>
    <s v="Cash on Delivery"/>
    <n v="0.2"/>
    <s v="Yes"/>
    <s v="November"/>
  </r>
  <r>
    <n v="1530"/>
    <d v="2023-01-03T00:00:00"/>
    <x v="2"/>
    <s v="Laptop"/>
    <n v="500"/>
    <n v="5"/>
    <n v="2500"/>
    <n v="55"/>
    <s v="Female"/>
    <s v="Delhi"/>
    <s v="Organic Search"/>
    <s v="Credit Card"/>
    <n v="0.15"/>
    <s v="No"/>
    <s v="January"/>
  </r>
  <r>
    <n v="1531"/>
    <d v="2023-06-27T00:00:00"/>
    <x v="2"/>
    <s v="Headphones"/>
    <n v="696"/>
    <n v="2"/>
    <n v="1392"/>
    <n v="27"/>
    <s v="Male"/>
    <s v="Hyderabad"/>
    <s v="Instagram"/>
    <s v="Cash on Delivery"/>
    <n v="0.05"/>
    <s v="No"/>
    <s v="June"/>
  </r>
  <r>
    <n v="1532"/>
    <d v="2023-07-21T00:00:00"/>
    <x v="0"/>
    <s v="Remote Car"/>
    <n v="541"/>
    <n v="5"/>
    <n v="2705"/>
    <n v="41"/>
    <s v="Female"/>
    <s v="Mumbai"/>
    <s v="Google Ads"/>
    <s v="UPI"/>
    <n v="0.3"/>
    <s v="No"/>
    <s v="July"/>
  </r>
  <r>
    <n v="1533"/>
    <d v="2023-05-13T00:00:00"/>
    <x v="0"/>
    <s v="Remote Car"/>
    <n v="365"/>
    <n v="3"/>
    <n v="1095"/>
    <n v="26"/>
    <s v="Female"/>
    <s v="Mumbai"/>
    <s v="Facebook Ads"/>
    <s v="Debit Card"/>
    <n v="0.3"/>
    <s v="No"/>
    <s v="May"/>
  </r>
  <r>
    <n v="1534"/>
    <d v="2023-09-15T00:00:00"/>
    <x v="2"/>
    <s v="Smartphone"/>
    <n v="1011"/>
    <n v="1"/>
    <n v="1011"/>
    <n v="29"/>
    <s v="Female"/>
    <s v="Ahmedabad"/>
    <s v="Instagram"/>
    <s v="Cash on Delivery"/>
    <n v="0.15"/>
    <s v="No"/>
    <s v="September"/>
  </r>
  <r>
    <n v="1535"/>
    <d v="2023-01-22T00:00:00"/>
    <x v="4"/>
    <s v="Basketball"/>
    <n v="40"/>
    <n v="5"/>
    <n v="200"/>
    <n v="32"/>
    <s v="Male"/>
    <s v="Jaipur"/>
    <s v="Organic Search"/>
    <s v="Credit Card"/>
    <n v="0.3"/>
    <s v="Yes"/>
    <s v="January"/>
  </r>
  <r>
    <n v="1536"/>
    <d v="2023-04-12T00:00:00"/>
    <x v="0"/>
    <s v="Lego Set"/>
    <n v="69"/>
    <n v="1"/>
    <n v="69"/>
    <n v="51"/>
    <s v="Male"/>
    <s v="Delhi"/>
    <s v="Google Ads"/>
    <s v="Cash on Delivery"/>
    <n v="0.1"/>
    <s v="No"/>
    <s v="April"/>
  </r>
  <r>
    <n v="1537"/>
    <d v="2023-06-14T00:00:00"/>
    <x v="5"/>
    <s v="Sweater"/>
    <n v="59"/>
    <n v="3"/>
    <n v="177"/>
    <n v="52"/>
    <s v="Male"/>
    <s v="Lucknow"/>
    <s v="Facebook Ads"/>
    <s v="Debit Card"/>
    <n v="0.25"/>
    <s v="No"/>
    <s v="June"/>
  </r>
  <r>
    <n v="1538"/>
    <d v="2023-08-14T00:00:00"/>
    <x v="1"/>
    <s v="Table Lamp"/>
    <n v="810"/>
    <n v="5"/>
    <n v="4050"/>
    <n v="59"/>
    <s v="Female"/>
    <s v="Mumbai"/>
    <s v="Organic Search"/>
    <s v="UPI"/>
    <n v="0.1"/>
    <s v="Yes"/>
    <s v="August"/>
  </r>
  <r>
    <n v="1539"/>
    <d v="2023-06-18T00:00:00"/>
    <x v="3"/>
    <s v="Cereal Pack"/>
    <n v="273"/>
    <n v="1"/>
    <n v="273"/>
    <n v="46"/>
    <s v="Female"/>
    <s v="Bangalore"/>
    <s v="Organic Search"/>
    <s v="UPI"/>
    <n v="0.15"/>
    <s v="No"/>
    <s v="June"/>
  </r>
  <r>
    <n v="1540"/>
    <d v="2023-10-27T00:00:00"/>
    <x v="3"/>
    <s v="Bread"/>
    <n v="1325"/>
    <n v="4"/>
    <n v="5300"/>
    <n v="33"/>
    <s v="Male"/>
    <s v="Lucknow"/>
    <s v="Instagram"/>
    <s v="PayPal"/>
    <n v="0.05"/>
    <s v="No"/>
    <s v="October"/>
  </r>
  <r>
    <n v="1541"/>
    <d v="2023-03-29T00:00:00"/>
    <x v="1"/>
    <s v="Table Lamp"/>
    <n v="468"/>
    <n v="3"/>
    <n v="1404"/>
    <n v="31"/>
    <s v="Male"/>
    <s v="Jaipur"/>
    <s v="Facebook Ads"/>
    <s v="Credit Card"/>
    <n v="0.05"/>
    <s v="No"/>
    <s v="March"/>
  </r>
  <r>
    <n v="1542"/>
    <d v="2023-09-02T00:00:00"/>
    <x v="2"/>
    <s v="Smartphone"/>
    <n v="392"/>
    <n v="2"/>
    <n v="784"/>
    <n v="24"/>
    <s v="Female"/>
    <s v="Mumbai"/>
    <s v="Email Campaign"/>
    <s v="Credit Card"/>
    <n v="0.25"/>
    <s v="No"/>
    <s v="September"/>
  </r>
  <r>
    <n v="1543"/>
    <d v="2024-01-02T00:00:00"/>
    <x v="0"/>
    <s v="Remote Car"/>
    <n v="373"/>
    <n v="2"/>
    <n v="746"/>
    <n v="36"/>
    <s v="Male"/>
    <s v="Lucknow"/>
    <s v="Facebook Ads"/>
    <s v="Cash on Delivery"/>
    <n v="0.05"/>
    <s v="Yes"/>
    <s v="January"/>
  </r>
  <r>
    <n v="1544"/>
    <d v="2023-07-27T00:00:00"/>
    <x v="4"/>
    <s v="Yoga Mat"/>
    <n v="1094"/>
    <n v="4"/>
    <n v="4376"/>
    <n v="37"/>
    <s v="Female"/>
    <s v="Lucknow"/>
    <s v="Organic Search"/>
    <s v="Debit Card"/>
    <n v="0.2"/>
    <s v="Yes"/>
    <s v="July"/>
  </r>
  <r>
    <n v="1545"/>
    <d v="2023-02-03T00:00:00"/>
    <x v="1"/>
    <s v="Cushions"/>
    <n v="1479"/>
    <n v="4"/>
    <n v="5916"/>
    <n v="33"/>
    <s v="Female"/>
    <s v="Lucknow"/>
    <s v="Email Campaign"/>
    <s v="UPI"/>
    <n v="0.3"/>
    <s v="Yes"/>
    <s v="February"/>
  </r>
  <r>
    <n v="1546"/>
    <d v="2023-05-03T00:00:00"/>
    <x v="2"/>
    <s v="Tablet"/>
    <n v="401"/>
    <n v="3"/>
    <n v="1203"/>
    <n v="33"/>
    <s v="Female"/>
    <s v="Mumbai"/>
    <s v="Organic Search"/>
    <s v="Credit Card"/>
    <n v="0.25"/>
    <s v="Yes"/>
    <s v="May"/>
  </r>
  <r>
    <n v="1547"/>
    <d v="2023-05-05T00:00:00"/>
    <x v="4"/>
    <s v="Tennis Racket"/>
    <n v="198"/>
    <n v="2"/>
    <n v="396"/>
    <n v="30"/>
    <s v="Female"/>
    <s v="Bangalore"/>
    <s v="Google Ads"/>
    <s v="UPI"/>
    <n v="0.05"/>
    <s v="No"/>
    <s v="May"/>
  </r>
  <r>
    <n v="1548"/>
    <d v="2023-03-04T00:00:00"/>
    <x v="2"/>
    <s v="Headphones"/>
    <n v="248"/>
    <n v="5"/>
    <n v="1240"/>
    <n v="34"/>
    <s v="Male"/>
    <s v="Mumbai"/>
    <s v="Referral"/>
    <s v="Debit Card"/>
    <n v="0.25"/>
    <s v="No"/>
    <s v="March"/>
  </r>
  <r>
    <n v="1549"/>
    <d v="2023-05-30T00:00:00"/>
    <x v="1"/>
    <s v="Curtains"/>
    <n v="499"/>
    <n v="5"/>
    <n v="2495"/>
    <n v="52"/>
    <s v="Male"/>
    <s v="Chennai"/>
    <s v="Facebook Ads"/>
    <s v="Cash on Delivery"/>
    <n v="0.1"/>
    <s v="Yes"/>
    <s v="May"/>
  </r>
  <r>
    <n v="1550"/>
    <d v="2023-09-01T00:00:00"/>
    <x v="1"/>
    <s v="Carpet"/>
    <n v="1466"/>
    <n v="2"/>
    <n v="2932"/>
    <n v="43"/>
    <s v="Male"/>
    <s v="Bangalore"/>
    <s v="Organic Search"/>
    <s v="PayPal"/>
    <n v="0.3"/>
    <s v="No"/>
    <s v="September"/>
  </r>
  <r>
    <n v="1551"/>
    <d v="2023-07-13T00:00:00"/>
    <x v="0"/>
    <s v="Dollhouse"/>
    <n v="976"/>
    <n v="1"/>
    <n v="976"/>
    <n v="59"/>
    <s v="Male"/>
    <s v="Bangalore"/>
    <s v="Email Campaign"/>
    <s v="Debit Card"/>
    <n v="0.1"/>
    <s v="No"/>
    <s v="July"/>
  </r>
  <r>
    <n v="1552"/>
    <d v="2023-05-23T00:00:00"/>
    <x v="4"/>
    <s v="Skipping Rope"/>
    <n v="787"/>
    <n v="3"/>
    <n v="2361"/>
    <n v="24"/>
    <s v="Male"/>
    <s v="Kolkata"/>
    <s v="Organic Search"/>
    <s v="UPI"/>
    <n v="0.3"/>
    <s v="Yes"/>
    <s v="May"/>
  </r>
  <r>
    <n v="1553"/>
    <d v="2023-01-01T00:00:00"/>
    <x v="3"/>
    <s v="Milk"/>
    <n v="1371"/>
    <n v="4"/>
    <n v="5484"/>
    <n v="60"/>
    <s v="Female"/>
    <s v="Bangalore"/>
    <s v="Google Ads"/>
    <s v="Cash on Delivery"/>
    <n v="0.1"/>
    <s v="No"/>
    <s v="January"/>
  </r>
  <r>
    <n v="1554"/>
    <d v="2023-05-30T00:00:00"/>
    <x v="4"/>
    <s v="Yoga Mat"/>
    <n v="1453"/>
    <n v="4"/>
    <n v="5812"/>
    <n v="46"/>
    <s v="Male"/>
    <s v="Bangalore"/>
    <s v="Facebook Ads"/>
    <s v="PayPal"/>
    <n v="0.25"/>
    <s v="No"/>
    <s v="May"/>
  </r>
  <r>
    <n v="1555"/>
    <d v="2023-01-07T00:00:00"/>
    <x v="0"/>
    <s v="Board Game"/>
    <n v="872"/>
    <n v="5"/>
    <n v="4360"/>
    <n v="43"/>
    <s v="Female"/>
    <s v="Ahmedabad"/>
    <s v="Facebook Ads"/>
    <s v="Cash on Delivery"/>
    <n v="0.25"/>
    <s v="No"/>
    <s v="January"/>
  </r>
  <r>
    <n v="1556"/>
    <d v="2023-02-21T00:00:00"/>
    <x v="5"/>
    <s v="Jeans"/>
    <n v="159"/>
    <n v="3"/>
    <n v="477"/>
    <n v="40"/>
    <s v="Female"/>
    <s v="Ahmedabad"/>
    <s v="Referral"/>
    <s v="Credit Card"/>
    <n v="0.3"/>
    <s v="Yes"/>
    <s v="February"/>
  </r>
  <r>
    <n v="1557"/>
    <d v="2023-11-30T00:00:00"/>
    <x v="2"/>
    <s v="Smartwatch"/>
    <n v="1271"/>
    <n v="2"/>
    <n v="2542"/>
    <n v="45"/>
    <s v="Male"/>
    <s v="Jaipur"/>
    <s v="Instagram"/>
    <s v="PayPal"/>
    <n v="0.15"/>
    <s v="Yes"/>
    <s v="November"/>
  </r>
  <r>
    <n v="1558"/>
    <d v="2023-05-10T00:00:00"/>
    <x v="2"/>
    <s v="Tablet"/>
    <n v="643"/>
    <n v="5"/>
    <n v="3215"/>
    <n v="48"/>
    <s v="Male"/>
    <s v="Mumbai"/>
    <s v="Email Campaign"/>
    <s v="Credit Card"/>
    <n v="0.3"/>
    <s v="Yes"/>
    <s v="May"/>
  </r>
  <r>
    <n v="1559"/>
    <d v="2023-03-19T00:00:00"/>
    <x v="3"/>
    <s v="Coffee"/>
    <n v="894"/>
    <n v="3"/>
    <n v="2682"/>
    <n v="32"/>
    <s v="Female"/>
    <s v="Chennai"/>
    <s v="Organic Search"/>
    <s v="Cash on Delivery"/>
    <n v="0.05"/>
    <s v="Yes"/>
    <s v="March"/>
  </r>
  <r>
    <n v="1560"/>
    <d v="2023-04-08T00:00:00"/>
    <x v="4"/>
    <s v="Tennis Racket"/>
    <n v="505"/>
    <n v="3"/>
    <n v="1515"/>
    <n v="25"/>
    <s v="Male"/>
    <s v="Lucknow"/>
    <s v="Google Ads"/>
    <s v="Debit Card"/>
    <n v="0.05"/>
    <s v="No"/>
    <s v="April"/>
  </r>
  <r>
    <n v="1561"/>
    <d v="2023-06-19T00:00:00"/>
    <x v="0"/>
    <s v="Board Game"/>
    <n v="1083"/>
    <n v="3"/>
    <n v="3249"/>
    <n v="41"/>
    <s v="Female"/>
    <s v="Bangalore"/>
    <s v="Email Campaign"/>
    <s v="Debit Card"/>
    <n v="0.2"/>
    <s v="Yes"/>
    <s v="June"/>
  </r>
  <r>
    <n v="1562"/>
    <d v="2023-04-12T00:00:00"/>
    <x v="0"/>
    <s v="Remote Car"/>
    <n v="95"/>
    <n v="5"/>
    <n v="475"/>
    <n v="31"/>
    <s v="Male"/>
    <s v="Bangalore"/>
    <s v="Google Ads"/>
    <s v="Debit Card"/>
    <n v="0.3"/>
    <s v="Yes"/>
    <s v="April"/>
  </r>
  <r>
    <n v="1563"/>
    <d v="2023-02-06T00:00:00"/>
    <x v="0"/>
    <s v="Board Game"/>
    <n v="336"/>
    <n v="4"/>
    <n v="1344"/>
    <n v="39"/>
    <s v="Female"/>
    <s v="Jaipur"/>
    <s v="Referral"/>
    <s v="Debit Card"/>
    <n v="0.3"/>
    <s v="No"/>
    <s v="February"/>
  </r>
  <r>
    <n v="1564"/>
    <d v="2023-10-01T00:00:00"/>
    <x v="3"/>
    <s v="Coffee"/>
    <n v="926"/>
    <n v="1"/>
    <n v="926"/>
    <n v="49"/>
    <s v="Male"/>
    <s v="Kolkata"/>
    <s v="Referral"/>
    <s v="Debit Card"/>
    <n v="0.15"/>
    <s v="Yes"/>
    <s v="October"/>
  </r>
  <r>
    <n v="1565"/>
    <d v="2023-02-16T00:00:00"/>
    <x v="0"/>
    <s v="Dollhouse"/>
    <n v="144"/>
    <n v="2"/>
    <n v="288"/>
    <n v="28"/>
    <s v="Male"/>
    <s v="Mumbai"/>
    <s v="Facebook Ads"/>
    <s v="UPI"/>
    <n v="0.05"/>
    <s v="Yes"/>
    <s v="February"/>
  </r>
  <r>
    <n v="1566"/>
    <d v="2023-09-24T00:00:00"/>
    <x v="5"/>
    <s v="Winter Jacket"/>
    <n v="255"/>
    <n v="2"/>
    <n v="510"/>
    <n v="54"/>
    <s v="Male"/>
    <s v="Bangalore"/>
    <s v="Email Campaign"/>
    <s v="Credit Card"/>
    <n v="0.25"/>
    <s v="Yes"/>
    <s v="September"/>
  </r>
  <r>
    <n v="1567"/>
    <d v="2023-02-12T00:00:00"/>
    <x v="6"/>
    <s v="Formal Shoes"/>
    <n v="302"/>
    <n v="2"/>
    <n v="604"/>
    <n v="29"/>
    <s v="Female"/>
    <s v="Lucknow"/>
    <s v="Instagram"/>
    <s v="Debit Card"/>
    <n v="0.05"/>
    <s v="No"/>
    <s v="February"/>
  </r>
  <r>
    <n v="1568"/>
    <d v="2023-04-30T00:00:00"/>
    <x v="5"/>
    <s v="Winter Jacket"/>
    <n v="1143"/>
    <n v="3"/>
    <n v="3429"/>
    <n v="41"/>
    <s v="Male"/>
    <s v="Chennai"/>
    <s v="Email Campaign"/>
    <s v="Cash on Delivery"/>
    <n v="0.05"/>
    <s v="No"/>
    <s v="April"/>
  </r>
  <r>
    <n v="1569"/>
    <d v="2023-03-20T00:00:00"/>
    <x v="4"/>
    <s v="Tennis Racket"/>
    <n v="480"/>
    <n v="1"/>
    <n v="480"/>
    <n v="35"/>
    <s v="Female"/>
    <s v="Jaipur"/>
    <s v="Referral"/>
    <s v="Cash on Delivery"/>
    <n v="0.05"/>
    <s v="Yes"/>
    <s v="March"/>
  </r>
  <r>
    <n v="1570"/>
    <d v="2023-01-05T00:00:00"/>
    <x v="0"/>
    <s v="Puzzle"/>
    <n v="999"/>
    <n v="2"/>
    <n v="1998"/>
    <n v="24"/>
    <s v="Female"/>
    <s v="Pune"/>
    <s v="Organic Search"/>
    <s v="Debit Card"/>
    <n v="0.3"/>
    <s v="Yes"/>
    <s v="January"/>
  </r>
  <r>
    <n v="1571"/>
    <d v="2024-01-22T00:00:00"/>
    <x v="1"/>
    <s v="Table Lamp"/>
    <n v="317"/>
    <n v="3"/>
    <n v="951"/>
    <n v="49"/>
    <s v="Female"/>
    <s v="Bangalore"/>
    <s v="Facebook Ads"/>
    <s v="Credit Card"/>
    <n v="0.25"/>
    <s v="No"/>
    <s v="January"/>
  </r>
  <r>
    <n v="1572"/>
    <d v="2023-10-06T00:00:00"/>
    <x v="0"/>
    <s v="Puzzle"/>
    <n v="99"/>
    <n v="3"/>
    <n v="297"/>
    <n v="50"/>
    <s v="Female"/>
    <s v="Mumbai"/>
    <s v="Facebook Ads"/>
    <s v="PayPal"/>
    <n v="0.2"/>
    <s v="No"/>
    <s v="October"/>
  </r>
  <r>
    <n v="1573"/>
    <d v="2023-02-17T00:00:00"/>
    <x v="5"/>
    <s v="Dress"/>
    <n v="561"/>
    <n v="4"/>
    <n v="2244"/>
    <n v="60"/>
    <s v="Male"/>
    <s v="Hyderabad"/>
    <s v="Google Ads"/>
    <s v="Cash on Delivery"/>
    <n v="0.1"/>
    <s v="Yes"/>
    <s v="February"/>
  </r>
  <r>
    <n v="1574"/>
    <d v="2024-02-01T00:00:00"/>
    <x v="6"/>
    <s v="Sneakers"/>
    <n v="1213"/>
    <n v="3"/>
    <n v="3639"/>
    <n v="33"/>
    <s v="Male"/>
    <s v="Hyderabad"/>
    <s v="Google Ads"/>
    <s v="Cash on Delivery"/>
    <n v="0.2"/>
    <s v="No"/>
    <s v="February"/>
  </r>
  <r>
    <n v="1575"/>
    <d v="2023-11-01T00:00:00"/>
    <x v="6"/>
    <s v="Formal Shoes"/>
    <n v="809"/>
    <n v="5"/>
    <n v="4045"/>
    <n v="40"/>
    <s v="Male"/>
    <s v="Pune"/>
    <s v="Organic Search"/>
    <s v="UPI"/>
    <n v="0.3"/>
    <s v="No"/>
    <s v="November"/>
  </r>
  <r>
    <n v="1576"/>
    <d v="2023-03-19T00:00:00"/>
    <x v="2"/>
    <s v="Tablet"/>
    <n v="1243"/>
    <n v="1"/>
    <n v="1243"/>
    <n v="53"/>
    <s v="Female"/>
    <s v="Chennai"/>
    <s v="Google Ads"/>
    <s v="Cash on Delivery"/>
    <n v="0.3"/>
    <s v="No"/>
    <s v="March"/>
  </r>
  <r>
    <n v="1577"/>
    <d v="2023-04-30T00:00:00"/>
    <x v="1"/>
    <s v="Table Lamp"/>
    <n v="910"/>
    <n v="3"/>
    <n v="2730"/>
    <n v="37"/>
    <s v="Male"/>
    <s v="Pune"/>
    <s v="Instagram"/>
    <s v="Credit Card"/>
    <n v="0.1"/>
    <s v="Yes"/>
    <s v="April"/>
  </r>
  <r>
    <n v="1578"/>
    <d v="2023-03-03T00:00:00"/>
    <x v="2"/>
    <s v="Smartphone"/>
    <n v="1104"/>
    <n v="2"/>
    <n v="2208"/>
    <n v="28"/>
    <s v="Female"/>
    <s v="Lucknow"/>
    <s v="Referral"/>
    <s v="PayPal"/>
    <n v="0.2"/>
    <s v="No"/>
    <s v="March"/>
  </r>
  <r>
    <n v="1579"/>
    <d v="2023-03-23T00:00:00"/>
    <x v="2"/>
    <s v="Laptop"/>
    <n v="528"/>
    <n v="4"/>
    <n v="2112"/>
    <n v="42"/>
    <s v="Female"/>
    <s v="Jaipur"/>
    <s v="Organic Search"/>
    <s v="Debit Card"/>
    <n v="0.2"/>
    <s v="Yes"/>
    <s v="March"/>
  </r>
  <r>
    <n v="1580"/>
    <d v="2023-06-12T00:00:00"/>
    <x v="6"/>
    <s v="Running Shoes"/>
    <n v="1138"/>
    <n v="2"/>
    <n v="2276"/>
    <n v="49"/>
    <s v="Female"/>
    <s v="Lucknow"/>
    <s v="Referral"/>
    <s v="Debit Card"/>
    <n v="0.1"/>
    <s v="No"/>
    <s v="June"/>
  </r>
  <r>
    <n v="1581"/>
    <d v="2023-07-26T00:00:00"/>
    <x v="0"/>
    <s v="Dollhouse"/>
    <n v="166"/>
    <n v="5"/>
    <n v="830"/>
    <n v="54"/>
    <s v="Female"/>
    <s v="Chennai"/>
    <s v="Google Ads"/>
    <s v="Credit Card"/>
    <n v="0.2"/>
    <s v="No"/>
    <s v="July"/>
  </r>
  <r>
    <n v="1582"/>
    <d v="2023-10-13T00:00:00"/>
    <x v="4"/>
    <s v="Basketball"/>
    <n v="1077"/>
    <n v="1"/>
    <n v="1077"/>
    <n v="19"/>
    <s v="Female"/>
    <s v="Ahmedabad"/>
    <s v="Organic Search"/>
    <s v="Debit Card"/>
    <n v="0.15"/>
    <s v="No"/>
    <s v="October"/>
  </r>
  <r>
    <n v="1583"/>
    <d v="2023-09-15T00:00:00"/>
    <x v="3"/>
    <s v="Organic Vegetables"/>
    <n v="1302"/>
    <n v="4"/>
    <n v="5208"/>
    <n v="59"/>
    <s v="Female"/>
    <s v="Bangalore"/>
    <s v="Referral"/>
    <s v="PayPal"/>
    <n v="0.3"/>
    <s v="Yes"/>
    <s v="September"/>
  </r>
  <r>
    <n v="1584"/>
    <d v="2023-03-01T00:00:00"/>
    <x v="5"/>
    <s v="Winter Jacket"/>
    <n v="593"/>
    <n v="5"/>
    <n v="2965"/>
    <n v="52"/>
    <s v="Female"/>
    <s v="Mumbai"/>
    <s v="Facebook Ads"/>
    <s v="Cash on Delivery"/>
    <n v="0.1"/>
    <s v="Yes"/>
    <s v="March"/>
  </r>
  <r>
    <n v="1585"/>
    <d v="2023-03-30T00:00:00"/>
    <x v="0"/>
    <s v="Lego Set"/>
    <n v="943"/>
    <n v="5"/>
    <n v="4715"/>
    <n v="43"/>
    <s v="Male"/>
    <s v="Delhi"/>
    <s v="Instagram"/>
    <s v="Debit Card"/>
    <n v="0.15"/>
    <s v="Yes"/>
    <s v="March"/>
  </r>
  <r>
    <n v="1586"/>
    <d v="2023-10-29T00:00:00"/>
    <x v="6"/>
    <s v="Formal Shoes"/>
    <n v="587"/>
    <n v="4"/>
    <n v="2348"/>
    <n v="56"/>
    <s v="Male"/>
    <s v="Delhi"/>
    <s v="Organic Search"/>
    <s v="Credit Card"/>
    <n v="0.25"/>
    <s v="No"/>
    <s v="October"/>
  </r>
  <r>
    <n v="1587"/>
    <d v="2023-02-22T00:00:00"/>
    <x v="3"/>
    <s v="Bread"/>
    <n v="199"/>
    <n v="3"/>
    <n v="597"/>
    <n v="37"/>
    <s v="Male"/>
    <s v="Pune"/>
    <s v="Email Campaign"/>
    <s v="Debit Card"/>
    <n v="0.25"/>
    <s v="Yes"/>
    <s v="February"/>
  </r>
  <r>
    <n v="1588"/>
    <d v="2023-05-23T00:00:00"/>
    <x v="0"/>
    <s v="Lego Set"/>
    <n v="905"/>
    <n v="5"/>
    <n v="4525"/>
    <n v="32"/>
    <s v="Female"/>
    <s v="Pune"/>
    <s v="Organic Search"/>
    <s v="Debit Card"/>
    <n v="0.2"/>
    <s v="Yes"/>
    <s v="May"/>
  </r>
  <r>
    <n v="1589"/>
    <d v="2023-08-28T00:00:00"/>
    <x v="2"/>
    <s v="Smartphone"/>
    <n v="1138"/>
    <n v="3"/>
    <n v="3414"/>
    <n v="50"/>
    <s v="Female"/>
    <s v="Bangalore"/>
    <s v="Email Campaign"/>
    <s v="Cash on Delivery"/>
    <n v="0.1"/>
    <s v="Yes"/>
    <s v="August"/>
  </r>
  <r>
    <n v="1590"/>
    <d v="2023-07-08T00:00:00"/>
    <x v="5"/>
    <s v="Dress"/>
    <n v="391"/>
    <n v="4"/>
    <n v="1564"/>
    <n v="50"/>
    <s v="Male"/>
    <s v="Pune"/>
    <s v="Instagram"/>
    <s v="PayPal"/>
    <n v="0.1"/>
    <s v="No"/>
    <s v="July"/>
  </r>
  <r>
    <n v="1591"/>
    <d v="2024-01-30T00:00:00"/>
    <x v="0"/>
    <s v="Board Game"/>
    <n v="1308"/>
    <n v="1"/>
    <n v="1308"/>
    <n v="20"/>
    <s v="Female"/>
    <s v="Hyderabad"/>
    <s v="Instagram"/>
    <s v="Debit Card"/>
    <n v="0.2"/>
    <s v="No"/>
    <s v="January"/>
  </r>
  <r>
    <n v="1592"/>
    <d v="2023-10-14T00:00:00"/>
    <x v="1"/>
    <s v="Curtains"/>
    <n v="415"/>
    <n v="1"/>
    <n v="415"/>
    <n v="57"/>
    <s v="Male"/>
    <s v="Delhi"/>
    <s v="Referral"/>
    <s v="Credit Card"/>
    <n v="0.3"/>
    <s v="No"/>
    <s v="October"/>
  </r>
  <r>
    <n v="1593"/>
    <d v="2024-02-01T00:00:00"/>
    <x v="2"/>
    <s v="Headphones"/>
    <n v="946"/>
    <n v="5"/>
    <n v="4730"/>
    <n v="33"/>
    <s v="Male"/>
    <s v="Mumbai"/>
    <s v="Organic Search"/>
    <s v="UPI"/>
    <n v="0.15"/>
    <s v="No"/>
    <s v="February"/>
  </r>
  <r>
    <n v="1594"/>
    <d v="2023-01-19T00:00:00"/>
    <x v="4"/>
    <s v="Yoga Mat"/>
    <n v="164"/>
    <n v="3"/>
    <n v="492"/>
    <n v="37"/>
    <s v="Female"/>
    <s v="Chennai"/>
    <s v="Organic Search"/>
    <s v="Debit Card"/>
    <n v="0.25"/>
    <s v="No"/>
    <s v="January"/>
  </r>
  <r>
    <n v="1595"/>
    <d v="2023-11-30T00:00:00"/>
    <x v="6"/>
    <s v="Sandals"/>
    <n v="951"/>
    <n v="5"/>
    <n v="4755"/>
    <n v="37"/>
    <s v="Male"/>
    <s v="Bangalore"/>
    <s v="Referral"/>
    <s v="PayPal"/>
    <n v="0.15"/>
    <s v="Yes"/>
    <s v="November"/>
  </r>
  <r>
    <n v="1596"/>
    <d v="2023-03-30T00:00:00"/>
    <x v="6"/>
    <s v="Running Shoes"/>
    <n v="1134"/>
    <n v="1"/>
    <n v="1134"/>
    <n v="39"/>
    <s v="Female"/>
    <s v="Lucknow"/>
    <s v="Facebook Ads"/>
    <s v="PayPal"/>
    <n v="0.15"/>
    <s v="Yes"/>
    <s v="March"/>
  </r>
  <r>
    <n v="1597"/>
    <d v="2023-07-05T00:00:00"/>
    <x v="1"/>
    <s v="Carpet"/>
    <n v="82"/>
    <n v="5"/>
    <n v="410"/>
    <n v="27"/>
    <s v="Female"/>
    <s v="Bangalore"/>
    <s v="Facebook Ads"/>
    <s v="Credit Card"/>
    <n v="0.25"/>
    <s v="Yes"/>
    <s v="July"/>
  </r>
  <r>
    <n v="1598"/>
    <d v="2024-02-04T00:00:00"/>
    <x v="0"/>
    <s v="Remote Car"/>
    <n v="951"/>
    <n v="3"/>
    <n v="2853"/>
    <n v="57"/>
    <s v="Female"/>
    <s v="Mumbai"/>
    <s v="Facebook Ads"/>
    <s v="Debit Card"/>
    <n v="0.05"/>
    <s v="No"/>
    <s v="February"/>
  </r>
  <r>
    <n v="1599"/>
    <d v="2023-12-03T00:00:00"/>
    <x v="6"/>
    <s v="Sneakers"/>
    <n v="1086"/>
    <n v="3"/>
    <n v="3258"/>
    <n v="23"/>
    <s v="Female"/>
    <s v="Delhi"/>
    <s v="Facebook Ads"/>
    <s v="UPI"/>
    <n v="0.15"/>
    <s v="No"/>
    <s v="December"/>
  </r>
  <r>
    <n v="1600"/>
    <d v="2023-11-02T00:00:00"/>
    <x v="5"/>
    <s v="T-shirt"/>
    <n v="827"/>
    <n v="1"/>
    <n v="827"/>
    <n v="18"/>
    <s v="Female"/>
    <s v="Delhi"/>
    <s v="Email Campaign"/>
    <s v="PayPal"/>
    <n v="0.3"/>
    <s v="Yes"/>
    <s v="November"/>
  </r>
  <r>
    <n v="1601"/>
    <d v="2023-04-15T00:00:00"/>
    <x v="6"/>
    <s v="Formal Shoes"/>
    <n v="1052"/>
    <n v="3"/>
    <n v="3156"/>
    <n v="28"/>
    <s v="Male"/>
    <s v="Ahmedabad"/>
    <s v="Organic Search"/>
    <s v="PayPal"/>
    <n v="0.1"/>
    <s v="No"/>
    <s v="April"/>
  </r>
  <r>
    <n v="1602"/>
    <d v="2023-11-15T00:00:00"/>
    <x v="4"/>
    <s v="Basketball"/>
    <n v="163"/>
    <n v="4"/>
    <n v="652"/>
    <n v="33"/>
    <s v="Male"/>
    <s v="Jaipur"/>
    <s v="Email Campaign"/>
    <s v="PayPal"/>
    <n v="0.2"/>
    <s v="Yes"/>
    <s v="November"/>
  </r>
  <r>
    <n v="1603"/>
    <d v="2023-10-12T00:00:00"/>
    <x v="4"/>
    <s v="Tennis Racket"/>
    <n v="222"/>
    <n v="3"/>
    <n v="666"/>
    <n v="58"/>
    <s v="Male"/>
    <s v="Mumbai"/>
    <s v="Google Ads"/>
    <s v="PayPal"/>
    <n v="0.25"/>
    <s v="No"/>
    <s v="October"/>
  </r>
  <r>
    <n v="1604"/>
    <d v="2024-01-06T00:00:00"/>
    <x v="4"/>
    <s v="Skipping Rope"/>
    <n v="891"/>
    <n v="5"/>
    <n v="4455"/>
    <n v="36"/>
    <s v="Male"/>
    <s v="Ahmedabad"/>
    <s v="Email Campaign"/>
    <s v="UPI"/>
    <n v="0.05"/>
    <s v="Yes"/>
    <s v="January"/>
  </r>
  <r>
    <n v="1605"/>
    <d v="2023-01-10T00:00:00"/>
    <x v="0"/>
    <s v="Puzzle"/>
    <n v="1110"/>
    <n v="4"/>
    <n v="4440"/>
    <n v="57"/>
    <s v="Male"/>
    <s v="Bangalore"/>
    <s v="Instagram"/>
    <s v="UPI"/>
    <n v="0.25"/>
    <s v="Yes"/>
    <s v="January"/>
  </r>
  <r>
    <n v="1606"/>
    <d v="2023-09-16T00:00:00"/>
    <x v="0"/>
    <s v="Puzzle"/>
    <n v="1086"/>
    <n v="1"/>
    <n v="1086"/>
    <n v="36"/>
    <s v="Male"/>
    <s v="Ahmedabad"/>
    <s v="Organic Search"/>
    <s v="PayPal"/>
    <n v="0.05"/>
    <s v="No"/>
    <s v="September"/>
  </r>
  <r>
    <n v="1607"/>
    <d v="2023-02-14T00:00:00"/>
    <x v="3"/>
    <s v="Organic Vegetables"/>
    <n v="413"/>
    <n v="1"/>
    <n v="413"/>
    <n v="48"/>
    <s v="Female"/>
    <s v="Mumbai"/>
    <s v="Google Ads"/>
    <s v="PayPal"/>
    <n v="0.05"/>
    <s v="No"/>
    <s v="February"/>
  </r>
  <r>
    <n v="1608"/>
    <d v="2023-01-13T00:00:00"/>
    <x v="3"/>
    <s v="Milk"/>
    <n v="283"/>
    <n v="4"/>
    <n v="1132"/>
    <n v="36"/>
    <s v="Male"/>
    <s v="Hyderabad"/>
    <s v="Email Campaign"/>
    <s v="Debit Card"/>
    <n v="0.05"/>
    <s v="No"/>
    <s v="January"/>
  </r>
  <r>
    <n v="1609"/>
    <d v="2023-03-10T00:00:00"/>
    <x v="3"/>
    <s v="Cereal Pack"/>
    <n v="817"/>
    <n v="3"/>
    <n v="2451"/>
    <n v="47"/>
    <s v="Female"/>
    <s v="Jaipur"/>
    <s v="Referral"/>
    <s v="UPI"/>
    <n v="0.15"/>
    <s v="Yes"/>
    <s v="March"/>
  </r>
  <r>
    <n v="1610"/>
    <d v="2024-01-22T00:00:00"/>
    <x v="0"/>
    <s v="Lego Set"/>
    <n v="826"/>
    <n v="4"/>
    <n v="3304"/>
    <n v="23"/>
    <s v="Female"/>
    <s v="Chennai"/>
    <s v="Facebook Ads"/>
    <s v="PayPal"/>
    <n v="0.15"/>
    <s v="Yes"/>
    <s v="January"/>
  </r>
  <r>
    <n v="1611"/>
    <d v="2023-10-06T00:00:00"/>
    <x v="0"/>
    <s v="Remote Car"/>
    <n v="110"/>
    <n v="1"/>
    <n v="110"/>
    <n v="49"/>
    <s v="Male"/>
    <s v="Delhi"/>
    <s v="Organic Search"/>
    <s v="Credit Card"/>
    <n v="0.2"/>
    <s v="Yes"/>
    <s v="October"/>
  </r>
  <r>
    <n v="1612"/>
    <d v="2023-08-14T00:00:00"/>
    <x v="4"/>
    <s v="Skipping Rope"/>
    <n v="1168"/>
    <n v="1"/>
    <n v="1168"/>
    <n v="20"/>
    <s v="Female"/>
    <s v="Bangalore"/>
    <s v="Organic Search"/>
    <s v="Debit Card"/>
    <n v="0.25"/>
    <s v="No"/>
    <s v="August"/>
  </r>
  <r>
    <n v="1613"/>
    <d v="2023-06-13T00:00:00"/>
    <x v="4"/>
    <s v="Skipping Rope"/>
    <n v="505"/>
    <n v="5"/>
    <n v="2525"/>
    <n v="45"/>
    <s v="Male"/>
    <s v="Jaipur"/>
    <s v="Facebook Ads"/>
    <s v="Cash on Delivery"/>
    <n v="0.3"/>
    <s v="No"/>
    <s v="June"/>
  </r>
  <r>
    <n v="1614"/>
    <d v="2023-02-28T00:00:00"/>
    <x v="2"/>
    <s v="Laptop"/>
    <n v="363"/>
    <n v="3"/>
    <n v="1089"/>
    <n v="18"/>
    <s v="Male"/>
    <s v="Ahmedabad"/>
    <s v="Facebook Ads"/>
    <s v="Credit Card"/>
    <n v="0.2"/>
    <s v="No"/>
    <s v="February"/>
  </r>
  <r>
    <n v="1615"/>
    <d v="2023-11-05T00:00:00"/>
    <x v="5"/>
    <s v="Dress"/>
    <n v="777"/>
    <n v="4"/>
    <n v="3108"/>
    <n v="49"/>
    <s v="Male"/>
    <s v="Bangalore"/>
    <s v="Referral"/>
    <s v="UPI"/>
    <n v="0.2"/>
    <s v="No"/>
    <s v="November"/>
  </r>
  <r>
    <n v="1616"/>
    <d v="2023-11-14T00:00:00"/>
    <x v="6"/>
    <s v="Sneakers"/>
    <n v="1293"/>
    <n v="4"/>
    <n v="5172"/>
    <n v="39"/>
    <s v="Male"/>
    <s v="Lucknow"/>
    <s v="Email Campaign"/>
    <s v="Debit Card"/>
    <n v="0.15"/>
    <s v="No"/>
    <s v="November"/>
  </r>
  <r>
    <n v="1617"/>
    <d v="2023-09-02T00:00:00"/>
    <x v="0"/>
    <s v="Dollhouse"/>
    <n v="833"/>
    <n v="5"/>
    <n v="4165"/>
    <n v="30"/>
    <s v="Female"/>
    <s v="Bangalore"/>
    <s v="Google Ads"/>
    <s v="Debit Card"/>
    <n v="0.3"/>
    <s v="No"/>
    <s v="September"/>
  </r>
  <r>
    <n v="1618"/>
    <d v="2023-10-21T00:00:00"/>
    <x v="5"/>
    <s v="Sweater"/>
    <n v="930"/>
    <n v="3"/>
    <n v="2790"/>
    <n v="51"/>
    <s v="Male"/>
    <s v="Pune"/>
    <s v="Facebook Ads"/>
    <s v="PayPal"/>
    <n v="0.15"/>
    <s v="No"/>
    <s v="October"/>
  </r>
  <r>
    <n v="1619"/>
    <d v="2023-09-23T00:00:00"/>
    <x v="0"/>
    <s v="Puzzle"/>
    <n v="860"/>
    <n v="4"/>
    <n v="3440"/>
    <n v="32"/>
    <s v="Male"/>
    <s v="Jaipur"/>
    <s v="Organic Search"/>
    <s v="PayPal"/>
    <n v="0.2"/>
    <s v="Yes"/>
    <s v="September"/>
  </r>
  <r>
    <n v="1620"/>
    <d v="2023-06-26T00:00:00"/>
    <x v="4"/>
    <s v="Tennis Racket"/>
    <n v="1499"/>
    <n v="5"/>
    <n v="7495"/>
    <n v="24"/>
    <s v="Male"/>
    <s v="Chennai"/>
    <s v="Organic Search"/>
    <s v="Credit Card"/>
    <n v="0.15"/>
    <s v="Yes"/>
    <s v="June"/>
  </r>
  <r>
    <n v="1621"/>
    <d v="2023-03-08T00:00:00"/>
    <x v="3"/>
    <s v="Milk"/>
    <n v="537"/>
    <n v="3"/>
    <n v="1611"/>
    <n v="42"/>
    <s v="Female"/>
    <s v="Jaipur"/>
    <s v="Email Campaign"/>
    <s v="Credit Card"/>
    <n v="0.3"/>
    <s v="Yes"/>
    <s v="March"/>
  </r>
  <r>
    <n v="1622"/>
    <d v="2023-05-11T00:00:00"/>
    <x v="5"/>
    <s v="Sweater"/>
    <n v="1357"/>
    <n v="1"/>
    <n v="1357"/>
    <n v="37"/>
    <s v="Female"/>
    <s v="Delhi"/>
    <s v="Facebook Ads"/>
    <s v="PayPal"/>
    <n v="0.15"/>
    <s v="Yes"/>
    <s v="May"/>
  </r>
  <r>
    <n v="1623"/>
    <d v="2023-05-12T00:00:00"/>
    <x v="1"/>
    <s v="Table Lamp"/>
    <n v="949"/>
    <n v="3"/>
    <n v="2847"/>
    <n v="42"/>
    <s v="Female"/>
    <s v="Jaipur"/>
    <s v="Organic Search"/>
    <s v="UPI"/>
    <n v="0.2"/>
    <s v="No"/>
    <s v="May"/>
  </r>
  <r>
    <n v="1624"/>
    <d v="2023-04-28T00:00:00"/>
    <x v="0"/>
    <s v="Dollhouse"/>
    <n v="747"/>
    <n v="4"/>
    <n v="2988"/>
    <n v="39"/>
    <s v="Female"/>
    <s v="Bangalore"/>
    <s v="Google Ads"/>
    <s v="Debit Card"/>
    <n v="0.2"/>
    <s v="Yes"/>
    <s v="April"/>
  </r>
  <r>
    <n v="1625"/>
    <d v="2023-06-04T00:00:00"/>
    <x v="0"/>
    <s v="Board Game"/>
    <n v="476"/>
    <n v="3"/>
    <n v="1428"/>
    <n v="49"/>
    <s v="Male"/>
    <s v="Hyderabad"/>
    <s v="Google Ads"/>
    <s v="Debit Card"/>
    <n v="0.3"/>
    <s v="Yes"/>
    <s v="June"/>
  </r>
  <r>
    <n v="1626"/>
    <d v="2023-04-03T00:00:00"/>
    <x v="0"/>
    <s v="Dollhouse"/>
    <n v="80"/>
    <n v="2"/>
    <n v="160"/>
    <n v="51"/>
    <s v="Female"/>
    <s v="Lucknow"/>
    <s v="Organic Search"/>
    <s v="Credit Card"/>
    <n v="0.05"/>
    <s v="No"/>
    <s v="April"/>
  </r>
  <r>
    <n v="1627"/>
    <d v="2024-01-26T00:00:00"/>
    <x v="3"/>
    <s v="Cereal Pack"/>
    <n v="1010"/>
    <n v="4"/>
    <n v="4040"/>
    <n v="30"/>
    <s v="Male"/>
    <s v="Chennai"/>
    <s v="Referral"/>
    <s v="UPI"/>
    <n v="0.15"/>
    <s v="No"/>
    <s v="January"/>
  </r>
  <r>
    <n v="1628"/>
    <d v="2023-01-26T00:00:00"/>
    <x v="2"/>
    <s v="Smartwatch"/>
    <n v="929"/>
    <n v="2"/>
    <n v="1858"/>
    <n v="48"/>
    <s v="Male"/>
    <s v="Pune"/>
    <s v="Instagram"/>
    <s v="UPI"/>
    <n v="0.25"/>
    <s v="Yes"/>
    <s v="January"/>
  </r>
  <r>
    <n v="1629"/>
    <d v="2023-03-31T00:00:00"/>
    <x v="0"/>
    <s v="Remote Car"/>
    <n v="534"/>
    <n v="2"/>
    <n v="1068"/>
    <n v="48"/>
    <s v="Female"/>
    <s v="Delhi"/>
    <s v="Google Ads"/>
    <s v="PayPal"/>
    <n v="0.2"/>
    <s v="No"/>
    <s v="March"/>
  </r>
  <r>
    <n v="1630"/>
    <d v="2023-03-07T00:00:00"/>
    <x v="3"/>
    <s v="Milk"/>
    <n v="336"/>
    <n v="4"/>
    <n v="1344"/>
    <n v="58"/>
    <s v="Female"/>
    <s v="Lucknow"/>
    <s v="Email Campaign"/>
    <s v="Debit Card"/>
    <n v="0.15"/>
    <s v="No"/>
    <s v="March"/>
  </r>
  <r>
    <n v="1631"/>
    <d v="2023-10-26T00:00:00"/>
    <x v="0"/>
    <s v="Lego Set"/>
    <n v="376"/>
    <n v="3"/>
    <n v="1128"/>
    <n v="55"/>
    <s v="Male"/>
    <s v="Chennai"/>
    <s v="Referral"/>
    <s v="Debit Card"/>
    <n v="0.05"/>
    <s v="Yes"/>
    <s v="October"/>
  </r>
  <r>
    <n v="1632"/>
    <d v="2023-02-07T00:00:00"/>
    <x v="5"/>
    <s v="Dress"/>
    <n v="947"/>
    <n v="2"/>
    <n v="1894"/>
    <n v="27"/>
    <s v="Male"/>
    <s v="Kolkata"/>
    <s v="Organic Search"/>
    <s v="PayPal"/>
    <n v="0.05"/>
    <s v="Yes"/>
    <s v="February"/>
  </r>
  <r>
    <n v="1633"/>
    <d v="2023-08-08T00:00:00"/>
    <x v="2"/>
    <s v="Headphones"/>
    <n v="82"/>
    <n v="2"/>
    <n v="164"/>
    <n v="58"/>
    <s v="Female"/>
    <s v="Kolkata"/>
    <s v="Google Ads"/>
    <s v="Cash on Delivery"/>
    <n v="0.2"/>
    <s v="No"/>
    <s v="August"/>
  </r>
  <r>
    <n v="1634"/>
    <d v="2023-12-26T00:00:00"/>
    <x v="5"/>
    <s v="T-shirt"/>
    <n v="1058"/>
    <n v="5"/>
    <n v="5290"/>
    <n v="56"/>
    <s v="Female"/>
    <s v="Mumbai"/>
    <s v="Email Campaign"/>
    <s v="PayPal"/>
    <n v="0.05"/>
    <s v="No"/>
    <s v="December"/>
  </r>
  <r>
    <n v="1635"/>
    <d v="2023-11-28T00:00:00"/>
    <x v="1"/>
    <s v="Carpet"/>
    <n v="76"/>
    <n v="5"/>
    <n v="380"/>
    <n v="50"/>
    <s v="Female"/>
    <s v="Pune"/>
    <s v="Facebook Ads"/>
    <s v="UPI"/>
    <n v="0.05"/>
    <s v="No"/>
    <s v="November"/>
  </r>
  <r>
    <n v="1636"/>
    <d v="2023-01-26T00:00:00"/>
    <x v="3"/>
    <s v="Organic Vegetables"/>
    <n v="532"/>
    <n v="2"/>
    <n v="1064"/>
    <n v="37"/>
    <s v="Female"/>
    <s v="Jaipur"/>
    <s v="Google Ads"/>
    <s v="PayPal"/>
    <n v="0.3"/>
    <s v="No"/>
    <s v="January"/>
  </r>
  <r>
    <n v="1637"/>
    <d v="2023-02-08T00:00:00"/>
    <x v="4"/>
    <s v="Tennis Racket"/>
    <n v="1109"/>
    <n v="3"/>
    <n v="3327"/>
    <n v="50"/>
    <s v="Male"/>
    <s v="Chennai"/>
    <s v="Instagram"/>
    <s v="Cash on Delivery"/>
    <n v="0.3"/>
    <s v="No"/>
    <s v="February"/>
  </r>
  <r>
    <n v="1638"/>
    <d v="2023-08-26T00:00:00"/>
    <x v="0"/>
    <s v="Puzzle"/>
    <n v="356"/>
    <n v="4"/>
    <n v="1424"/>
    <n v="39"/>
    <s v="Female"/>
    <s v="Pune"/>
    <s v="Referral"/>
    <s v="Debit Card"/>
    <n v="0.05"/>
    <s v="No"/>
    <s v="August"/>
  </r>
  <r>
    <n v="1639"/>
    <d v="2023-07-13T00:00:00"/>
    <x v="3"/>
    <s v="Milk"/>
    <n v="206"/>
    <n v="3"/>
    <n v="618"/>
    <n v="60"/>
    <s v="Female"/>
    <s v="Hyderabad"/>
    <s v="Facebook Ads"/>
    <s v="Debit Card"/>
    <n v="0.3"/>
    <s v="Yes"/>
    <s v="July"/>
  </r>
  <r>
    <n v="1640"/>
    <d v="2023-11-21T00:00:00"/>
    <x v="0"/>
    <s v="Dollhouse"/>
    <n v="1132"/>
    <n v="4"/>
    <n v="4528"/>
    <n v="19"/>
    <s v="Male"/>
    <s v="Bangalore"/>
    <s v="Referral"/>
    <s v="PayPal"/>
    <n v="0.25"/>
    <s v="No"/>
    <s v="November"/>
  </r>
  <r>
    <n v="1641"/>
    <d v="2023-10-19T00:00:00"/>
    <x v="3"/>
    <s v="Milk"/>
    <n v="319"/>
    <n v="1"/>
    <n v="319"/>
    <n v="26"/>
    <s v="Female"/>
    <s v="Kolkata"/>
    <s v="Referral"/>
    <s v="PayPal"/>
    <n v="0.25"/>
    <s v="Yes"/>
    <s v="October"/>
  </r>
  <r>
    <n v="1642"/>
    <d v="2023-04-19T00:00:00"/>
    <x v="5"/>
    <s v="Dress"/>
    <n v="774"/>
    <n v="5"/>
    <n v="3870"/>
    <n v="32"/>
    <s v="Female"/>
    <s v="Kolkata"/>
    <s v="Instagram"/>
    <s v="Cash on Delivery"/>
    <n v="0.05"/>
    <s v="No"/>
    <s v="April"/>
  </r>
  <r>
    <n v="1643"/>
    <d v="2023-08-06T00:00:00"/>
    <x v="0"/>
    <s v="Board Game"/>
    <n v="795"/>
    <n v="1"/>
    <n v="795"/>
    <n v="59"/>
    <s v="Female"/>
    <s v="Chennai"/>
    <s v="Facebook Ads"/>
    <s v="PayPal"/>
    <n v="0.05"/>
    <s v="No"/>
    <s v="August"/>
  </r>
  <r>
    <n v="1644"/>
    <d v="2023-02-24T00:00:00"/>
    <x v="5"/>
    <s v="Jeans"/>
    <n v="272"/>
    <n v="3"/>
    <n v="816"/>
    <n v="24"/>
    <s v="Male"/>
    <s v="Mumbai"/>
    <s v="Facebook Ads"/>
    <s v="Credit Card"/>
    <n v="0.05"/>
    <s v="No"/>
    <s v="February"/>
  </r>
  <r>
    <n v="1645"/>
    <d v="2023-05-09T00:00:00"/>
    <x v="0"/>
    <s v="Remote Car"/>
    <n v="313"/>
    <n v="5"/>
    <n v="1565"/>
    <n v="25"/>
    <s v="Female"/>
    <s v="Lucknow"/>
    <s v="Email Campaign"/>
    <s v="Cash on Delivery"/>
    <n v="0.3"/>
    <s v="No"/>
    <s v="May"/>
  </r>
  <r>
    <n v="1646"/>
    <d v="2023-02-11T00:00:00"/>
    <x v="1"/>
    <s v="Carpet"/>
    <n v="206"/>
    <n v="2"/>
    <n v="412"/>
    <n v="57"/>
    <s v="Female"/>
    <s v="Pune"/>
    <s v="Google Ads"/>
    <s v="UPI"/>
    <n v="0.05"/>
    <s v="No"/>
    <s v="February"/>
  </r>
  <r>
    <n v="1647"/>
    <d v="2023-09-14T00:00:00"/>
    <x v="4"/>
    <s v="Basketball"/>
    <n v="516"/>
    <n v="2"/>
    <n v="1032"/>
    <n v="57"/>
    <s v="Male"/>
    <s v="Jaipur"/>
    <s v="Facebook Ads"/>
    <s v="Cash on Delivery"/>
    <n v="0.2"/>
    <s v="No"/>
    <s v="September"/>
  </r>
  <r>
    <n v="1648"/>
    <d v="2023-10-18T00:00:00"/>
    <x v="0"/>
    <s v="Remote Car"/>
    <n v="903"/>
    <n v="3"/>
    <n v="2709"/>
    <n v="42"/>
    <s v="Male"/>
    <s v="Ahmedabad"/>
    <s v="Email Campaign"/>
    <s v="UPI"/>
    <n v="0.05"/>
    <s v="No"/>
    <s v="October"/>
  </r>
  <r>
    <n v="1649"/>
    <d v="2023-11-25T00:00:00"/>
    <x v="0"/>
    <s v="Board Game"/>
    <n v="366"/>
    <n v="4"/>
    <n v="1464"/>
    <n v="54"/>
    <s v="Female"/>
    <s v="Chennai"/>
    <s v="Referral"/>
    <s v="Cash on Delivery"/>
    <n v="0.1"/>
    <s v="Yes"/>
    <s v="November"/>
  </r>
  <r>
    <n v="1650"/>
    <d v="2023-07-12T00:00:00"/>
    <x v="1"/>
    <s v="Table Lamp"/>
    <n v="998"/>
    <n v="2"/>
    <n v="1996"/>
    <n v="47"/>
    <s v="Male"/>
    <s v="Ahmedabad"/>
    <s v="Organic Search"/>
    <s v="PayPal"/>
    <n v="0.2"/>
    <s v="No"/>
    <s v="July"/>
  </r>
  <r>
    <n v="1651"/>
    <d v="2023-04-06T00:00:00"/>
    <x v="1"/>
    <s v="Curtains"/>
    <n v="1187"/>
    <n v="3"/>
    <n v="3561"/>
    <n v="36"/>
    <s v="Male"/>
    <s v="Bangalore"/>
    <s v="Organic Search"/>
    <s v="Cash on Delivery"/>
    <n v="0.25"/>
    <s v="Yes"/>
    <s v="April"/>
  </r>
  <r>
    <n v="1652"/>
    <d v="2023-10-08T00:00:00"/>
    <x v="3"/>
    <s v="Cereal Pack"/>
    <n v="1278"/>
    <n v="2"/>
    <n v="2556"/>
    <n v="20"/>
    <s v="Female"/>
    <s v="Chennai"/>
    <s v="Google Ads"/>
    <s v="Credit Card"/>
    <n v="0.3"/>
    <s v="Yes"/>
    <s v="October"/>
  </r>
  <r>
    <n v="1653"/>
    <d v="2023-09-18T00:00:00"/>
    <x v="6"/>
    <s v="Sandals"/>
    <n v="1415"/>
    <n v="2"/>
    <n v="2830"/>
    <n v="44"/>
    <s v="Male"/>
    <s v="Lucknow"/>
    <s v="Facebook Ads"/>
    <s v="PayPal"/>
    <n v="0.25"/>
    <s v="Yes"/>
    <s v="September"/>
  </r>
  <r>
    <n v="1654"/>
    <d v="2023-11-18T00:00:00"/>
    <x v="3"/>
    <s v="Cereal Pack"/>
    <n v="110"/>
    <n v="3"/>
    <n v="330"/>
    <n v="41"/>
    <s v="Male"/>
    <s v="Jaipur"/>
    <s v="Facebook Ads"/>
    <s v="UPI"/>
    <n v="0.05"/>
    <s v="Yes"/>
    <s v="November"/>
  </r>
  <r>
    <n v="1655"/>
    <d v="2023-11-23T00:00:00"/>
    <x v="5"/>
    <s v="T-shirt"/>
    <n v="670"/>
    <n v="2"/>
    <n v="1340"/>
    <n v="33"/>
    <s v="Female"/>
    <s v="Jaipur"/>
    <s v="Organic Search"/>
    <s v="Debit Card"/>
    <n v="0.2"/>
    <s v="Yes"/>
    <s v="November"/>
  </r>
  <r>
    <n v="1656"/>
    <d v="2023-04-03T00:00:00"/>
    <x v="0"/>
    <s v="Dollhouse"/>
    <n v="1275"/>
    <n v="2"/>
    <n v="2550"/>
    <n v="53"/>
    <s v="Female"/>
    <s v="Bangalore"/>
    <s v="Referral"/>
    <s v="Cash on Delivery"/>
    <n v="0.1"/>
    <s v="Yes"/>
    <s v="April"/>
  </r>
  <r>
    <n v="1657"/>
    <d v="2023-08-14T00:00:00"/>
    <x v="6"/>
    <s v="Formal Shoes"/>
    <n v="394"/>
    <n v="3"/>
    <n v="1182"/>
    <n v="40"/>
    <s v="Male"/>
    <s v="Mumbai"/>
    <s v="Organic Search"/>
    <s v="Debit Card"/>
    <n v="0.3"/>
    <s v="Yes"/>
    <s v="August"/>
  </r>
  <r>
    <n v="1658"/>
    <d v="2024-02-05T00:00:00"/>
    <x v="5"/>
    <s v="Dress"/>
    <n v="533"/>
    <n v="1"/>
    <n v="533"/>
    <n v="48"/>
    <s v="Male"/>
    <s v="Bangalore"/>
    <s v="Google Ads"/>
    <s v="Debit Card"/>
    <n v="0.25"/>
    <s v="No"/>
    <s v="February"/>
  </r>
  <r>
    <n v="1659"/>
    <d v="2023-11-16T00:00:00"/>
    <x v="4"/>
    <s v="Football"/>
    <n v="142"/>
    <n v="3"/>
    <n v="426"/>
    <n v="38"/>
    <s v="Female"/>
    <s v="Ahmedabad"/>
    <s v="Email Campaign"/>
    <s v="Cash on Delivery"/>
    <n v="0.05"/>
    <s v="Yes"/>
    <s v="November"/>
  </r>
  <r>
    <n v="1660"/>
    <d v="2023-06-11T00:00:00"/>
    <x v="5"/>
    <s v="Sweater"/>
    <n v="606"/>
    <n v="1"/>
    <n v="606"/>
    <n v="22"/>
    <s v="Female"/>
    <s v="Pune"/>
    <s v="Organic Search"/>
    <s v="PayPal"/>
    <n v="0.3"/>
    <s v="No"/>
    <s v="June"/>
  </r>
  <r>
    <n v="1661"/>
    <d v="2023-08-04T00:00:00"/>
    <x v="1"/>
    <s v="Carpet"/>
    <n v="631"/>
    <n v="4"/>
    <n v="2524"/>
    <n v="24"/>
    <s v="Male"/>
    <s v="Bangalore"/>
    <s v="Organic Search"/>
    <s v="Cash on Delivery"/>
    <n v="0.2"/>
    <s v="Yes"/>
    <s v="August"/>
  </r>
  <r>
    <n v="1662"/>
    <d v="2023-04-29T00:00:00"/>
    <x v="4"/>
    <s v="Football"/>
    <n v="1179"/>
    <n v="4"/>
    <n v="4716"/>
    <n v="25"/>
    <s v="Male"/>
    <s v="Kolkata"/>
    <s v="Google Ads"/>
    <s v="Cash on Delivery"/>
    <n v="0.2"/>
    <s v="No"/>
    <s v="April"/>
  </r>
  <r>
    <n v="1663"/>
    <d v="2024-01-17T00:00:00"/>
    <x v="5"/>
    <s v="Winter Jacket"/>
    <n v="1422"/>
    <n v="4"/>
    <n v="5688"/>
    <n v="36"/>
    <s v="Female"/>
    <s v="Bangalore"/>
    <s v="Organic Search"/>
    <s v="Cash on Delivery"/>
    <n v="0.3"/>
    <s v="No"/>
    <s v="January"/>
  </r>
  <r>
    <n v="1664"/>
    <d v="2023-07-12T00:00:00"/>
    <x v="2"/>
    <s v="Smartphone"/>
    <n v="1009"/>
    <n v="3"/>
    <n v="3027"/>
    <n v="44"/>
    <s v="Male"/>
    <s v="Ahmedabad"/>
    <s v="Referral"/>
    <s v="PayPal"/>
    <n v="0.3"/>
    <s v="Yes"/>
    <s v="July"/>
  </r>
  <r>
    <n v="1665"/>
    <d v="2023-05-29T00:00:00"/>
    <x v="1"/>
    <s v="Table Lamp"/>
    <n v="220"/>
    <n v="1"/>
    <n v="220"/>
    <n v="42"/>
    <s v="Male"/>
    <s v="Mumbai"/>
    <s v="Organic Search"/>
    <s v="PayPal"/>
    <n v="0.25"/>
    <s v="Yes"/>
    <s v="May"/>
  </r>
  <r>
    <n v="1666"/>
    <d v="2023-10-12T00:00:00"/>
    <x v="4"/>
    <s v="Yoga Mat"/>
    <n v="386"/>
    <n v="2"/>
    <n v="772"/>
    <n v="33"/>
    <s v="Male"/>
    <s v="Mumbai"/>
    <s v="Email Campaign"/>
    <s v="PayPal"/>
    <n v="0.3"/>
    <s v="Yes"/>
    <s v="October"/>
  </r>
  <r>
    <n v="1667"/>
    <d v="2023-05-14T00:00:00"/>
    <x v="1"/>
    <s v="Carpet"/>
    <n v="272"/>
    <n v="2"/>
    <n v="544"/>
    <n v="18"/>
    <s v="Female"/>
    <s v="Chennai"/>
    <s v="Email Campaign"/>
    <s v="UPI"/>
    <n v="0.1"/>
    <s v="Yes"/>
    <s v="May"/>
  </r>
  <r>
    <n v="1668"/>
    <d v="2023-07-13T00:00:00"/>
    <x v="6"/>
    <s v="Boots"/>
    <n v="1008"/>
    <n v="1"/>
    <n v="1008"/>
    <n v="36"/>
    <s v="Female"/>
    <s v="Bangalore"/>
    <s v="Organic Search"/>
    <s v="Cash on Delivery"/>
    <n v="0.15"/>
    <s v="Yes"/>
    <s v="July"/>
  </r>
  <r>
    <n v="1669"/>
    <d v="2023-05-24T00:00:00"/>
    <x v="6"/>
    <s v="Formal Shoes"/>
    <n v="297"/>
    <n v="4"/>
    <n v="1188"/>
    <n v="50"/>
    <s v="Male"/>
    <s v="Ahmedabad"/>
    <s v="Instagram"/>
    <s v="PayPal"/>
    <n v="0.3"/>
    <s v="No"/>
    <s v="May"/>
  </r>
  <r>
    <n v="1670"/>
    <d v="2023-07-06T00:00:00"/>
    <x v="5"/>
    <s v="Winter Jacket"/>
    <n v="179"/>
    <n v="4"/>
    <n v="716"/>
    <n v="21"/>
    <s v="Female"/>
    <s v="Hyderabad"/>
    <s v="Facebook Ads"/>
    <s v="Debit Card"/>
    <n v="0.1"/>
    <s v="Yes"/>
    <s v="July"/>
  </r>
  <r>
    <n v="1671"/>
    <d v="2023-04-22T00:00:00"/>
    <x v="2"/>
    <s v="Smartwatch"/>
    <n v="431"/>
    <n v="4"/>
    <n v="1724"/>
    <n v="24"/>
    <s v="Female"/>
    <s v="Delhi"/>
    <s v="Referral"/>
    <s v="Debit Card"/>
    <n v="0.15"/>
    <s v="No"/>
    <s v="April"/>
  </r>
  <r>
    <n v="1672"/>
    <d v="2023-12-28T00:00:00"/>
    <x v="3"/>
    <s v="Cereal Pack"/>
    <n v="220"/>
    <n v="1"/>
    <n v="220"/>
    <n v="28"/>
    <s v="Male"/>
    <s v="Hyderabad"/>
    <s v="Email Campaign"/>
    <s v="Credit Card"/>
    <n v="0.2"/>
    <s v="Yes"/>
    <s v="December"/>
  </r>
  <r>
    <n v="1673"/>
    <d v="2023-11-15T00:00:00"/>
    <x v="6"/>
    <s v="Boots"/>
    <n v="1366"/>
    <n v="3"/>
    <n v="4098"/>
    <n v="23"/>
    <s v="Male"/>
    <s v="Chennai"/>
    <s v="Instagram"/>
    <s v="Cash on Delivery"/>
    <n v="0.2"/>
    <s v="No"/>
    <s v="November"/>
  </r>
  <r>
    <n v="1674"/>
    <d v="2024-01-14T00:00:00"/>
    <x v="3"/>
    <s v="Milk"/>
    <n v="153"/>
    <n v="4"/>
    <n v="612"/>
    <n v="38"/>
    <s v="Female"/>
    <s v="Delhi"/>
    <s v="Facebook Ads"/>
    <s v="Debit Card"/>
    <n v="0.25"/>
    <s v="Yes"/>
    <s v="January"/>
  </r>
  <r>
    <n v="1675"/>
    <d v="2023-08-25T00:00:00"/>
    <x v="6"/>
    <s v="Sneakers"/>
    <n v="1262"/>
    <n v="5"/>
    <n v="6310"/>
    <n v="55"/>
    <s v="Female"/>
    <s v="Chennai"/>
    <s v="Facebook Ads"/>
    <s v="Credit Card"/>
    <n v="0.15"/>
    <s v="Yes"/>
    <s v="August"/>
  </r>
  <r>
    <n v="1676"/>
    <d v="2023-01-24T00:00:00"/>
    <x v="5"/>
    <s v="T-shirt"/>
    <n v="141"/>
    <n v="1"/>
    <n v="141"/>
    <n v="35"/>
    <s v="Male"/>
    <s v="Jaipur"/>
    <s v="Instagram"/>
    <s v="UPI"/>
    <n v="0.2"/>
    <s v="No"/>
    <s v="January"/>
  </r>
  <r>
    <n v="1677"/>
    <d v="2023-02-08T00:00:00"/>
    <x v="6"/>
    <s v="Sandals"/>
    <n v="1002"/>
    <n v="3"/>
    <n v="3006"/>
    <n v="49"/>
    <s v="Male"/>
    <s v="Ahmedabad"/>
    <s v="Referral"/>
    <s v="PayPal"/>
    <n v="0.15"/>
    <s v="No"/>
    <s v="February"/>
  </r>
  <r>
    <n v="1678"/>
    <d v="2023-11-08T00:00:00"/>
    <x v="2"/>
    <s v="Laptop"/>
    <n v="1451"/>
    <n v="4"/>
    <n v="5804"/>
    <n v="60"/>
    <s v="Male"/>
    <s v="Lucknow"/>
    <s v="Email Campaign"/>
    <s v="UPI"/>
    <n v="0.1"/>
    <s v="No"/>
    <s v="November"/>
  </r>
  <r>
    <n v="1679"/>
    <d v="2023-06-30T00:00:00"/>
    <x v="6"/>
    <s v="Formal Shoes"/>
    <n v="1059"/>
    <n v="1"/>
    <n v="1059"/>
    <n v="47"/>
    <s v="Male"/>
    <s v="Kolkata"/>
    <s v="Google Ads"/>
    <s v="Credit Card"/>
    <n v="0.25"/>
    <s v="Yes"/>
    <s v="June"/>
  </r>
  <r>
    <n v="1680"/>
    <d v="2023-11-06T00:00:00"/>
    <x v="6"/>
    <s v="Running Shoes"/>
    <n v="768"/>
    <n v="2"/>
    <n v="1536"/>
    <n v="56"/>
    <s v="Male"/>
    <s v="Chennai"/>
    <s v="Referral"/>
    <s v="Debit Card"/>
    <n v="0.25"/>
    <s v="Yes"/>
    <s v="November"/>
  </r>
  <r>
    <n v="1681"/>
    <d v="2023-04-20T00:00:00"/>
    <x v="5"/>
    <s v="Sweater"/>
    <n v="1107"/>
    <n v="1"/>
    <n v="1107"/>
    <n v="34"/>
    <s v="Female"/>
    <s v="Chennai"/>
    <s v="Email Campaign"/>
    <s v="PayPal"/>
    <n v="0.1"/>
    <s v="No"/>
    <s v="April"/>
  </r>
  <r>
    <n v="1682"/>
    <d v="2023-05-02T00:00:00"/>
    <x v="0"/>
    <s v="Dollhouse"/>
    <n v="1279"/>
    <n v="5"/>
    <n v="6395"/>
    <n v="36"/>
    <s v="Male"/>
    <s v="Chennai"/>
    <s v="Email Campaign"/>
    <s v="Credit Card"/>
    <n v="0.25"/>
    <s v="Yes"/>
    <s v="May"/>
  </r>
  <r>
    <n v="1683"/>
    <d v="2023-02-05T00:00:00"/>
    <x v="6"/>
    <s v="Formal Shoes"/>
    <n v="1290"/>
    <n v="2"/>
    <n v="2580"/>
    <n v="27"/>
    <s v="Female"/>
    <s v="Mumbai"/>
    <s v="Instagram"/>
    <s v="UPI"/>
    <n v="0.3"/>
    <s v="Yes"/>
    <s v="February"/>
  </r>
  <r>
    <n v="1684"/>
    <d v="2023-08-31T00:00:00"/>
    <x v="2"/>
    <s v="Smartphone"/>
    <n v="523"/>
    <n v="2"/>
    <n v="1046"/>
    <n v="54"/>
    <s v="Male"/>
    <s v="Chennai"/>
    <s v="Organic Search"/>
    <s v="Debit Card"/>
    <n v="0.2"/>
    <s v="No"/>
    <s v="August"/>
  </r>
  <r>
    <n v="1685"/>
    <d v="2023-03-02T00:00:00"/>
    <x v="1"/>
    <s v="Table Lamp"/>
    <n v="603"/>
    <n v="3"/>
    <n v="1809"/>
    <n v="52"/>
    <s v="Female"/>
    <s v="Chennai"/>
    <s v="Organic Search"/>
    <s v="PayPal"/>
    <n v="0.1"/>
    <s v="Yes"/>
    <s v="March"/>
  </r>
  <r>
    <n v="1686"/>
    <d v="2023-08-03T00:00:00"/>
    <x v="4"/>
    <s v="Football"/>
    <n v="83"/>
    <n v="2"/>
    <n v="166"/>
    <n v="45"/>
    <s v="Female"/>
    <s v="Hyderabad"/>
    <s v="Google Ads"/>
    <s v="UPI"/>
    <n v="0.2"/>
    <s v="Yes"/>
    <s v="August"/>
  </r>
  <r>
    <n v="1687"/>
    <d v="2023-02-27T00:00:00"/>
    <x v="6"/>
    <s v="Sneakers"/>
    <n v="431"/>
    <n v="4"/>
    <n v="1724"/>
    <n v="51"/>
    <s v="Female"/>
    <s v="Jaipur"/>
    <s v="Instagram"/>
    <s v="PayPal"/>
    <n v="0.15"/>
    <s v="No"/>
    <s v="February"/>
  </r>
  <r>
    <n v="1688"/>
    <d v="2023-05-04T00:00:00"/>
    <x v="6"/>
    <s v="Boots"/>
    <n v="374"/>
    <n v="4"/>
    <n v="1496"/>
    <n v="53"/>
    <s v="Male"/>
    <s v="Delhi"/>
    <s v="Email Campaign"/>
    <s v="UPI"/>
    <n v="0.3"/>
    <s v="No"/>
    <s v="May"/>
  </r>
  <r>
    <n v="1689"/>
    <d v="2023-06-18T00:00:00"/>
    <x v="4"/>
    <s v="Tennis Racket"/>
    <n v="979"/>
    <n v="2"/>
    <n v="1958"/>
    <n v="38"/>
    <s v="Male"/>
    <s v="Hyderabad"/>
    <s v="Organic Search"/>
    <s v="UPI"/>
    <n v="0.1"/>
    <s v="No"/>
    <s v="June"/>
  </r>
  <r>
    <n v="1690"/>
    <d v="2023-12-02T00:00:00"/>
    <x v="6"/>
    <s v="Boots"/>
    <n v="237"/>
    <n v="3"/>
    <n v="711"/>
    <n v="25"/>
    <s v="Female"/>
    <s v="Hyderabad"/>
    <s v="Google Ads"/>
    <s v="Cash on Delivery"/>
    <n v="0.05"/>
    <s v="No"/>
    <s v="December"/>
  </r>
  <r>
    <n v="1691"/>
    <d v="2023-11-24T00:00:00"/>
    <x v="0"/>
    <s v="Remote Car"/>
    <n v="1407"/>
    <n v="3"/>
    <n v="4221"/>
    <n v="58"/>
    <s v="Female"/>
    <s v="Chennai"/>
    <s v="Organic Search"/>
    <s v="Credit Card"/>
    <n v="0.15"/>
    <s v="Yes"/>
    <s v="November"/>
  </r>
  <r>
    <n v="1692"/>
    <d v="2023-12-09T00:00:00"/>
    <x v="6"/>
    <s v="Boots"/>
    <n v="663"/>
    <n v="3"/>
    <n v="1989"/>
    <n v="48"/>
    <s v="Male"/>
    <s v="Mumbai"/>
    <s v="Instagram"/>
    <s v="Cash on Delivery"/>
    <n v="0.05"/>
    <s v="No"/>
    <s v="December"/>
  </r>
  <r>
    <n v="1693"/>
    <d v="2023-07-30T00:00:00"/>
    <x v="0"/>
    <s v="Lego Set"/>
    <n v="1122"/>
    <n v="3"/>
    <n v="3366"/>
    <n v="20"/>
    <s v="Male"/>
    <s v="Jaipur"/>
    <s v="Organic Search"/>
    <s v="UPI"/>
    <n v="0.15"/>
    <s v="No"/>
    <s v="July"/>
  </r>
  <r>
    <n v="1694"/>
    <d v="2023-09-30T00:00:00"/>
    <x v="1"/>
    <s v="Wall Art"/>
    <n v="1072"/>
    <n v="1"/>
    <n v="1072"/>
    <n v="32"/>
    <s v="Male"/>
    <s v="Pune"/>
    <s v="Email Campaign"/>
    <s v="Credit Card"/>
    <n v="0.05"/>
    <s v="Yes"/>
    <s v="September"/>
  </r>
  <r>
    <n v="1695"/>
    <d v="2023-04-03T00:00:00"/>
    <x v="0"/>
    <s v="Puzzle"/>
    <n v="146"/>
    <n v="5"/>
    <n v="730"/>
    <n v="22"/>
    <s v="Male"/>
    <s v="Ahmedabad"/>
    <s v="Referral"/>
    <s v="UPI"/>
    <n v="0.2"/>
    <s v="Yes"/>
    <s v="April"/>
  </r>
  <r>
    <n v="1696"/>
    <d v="2023-12-25T00:00:00"/>
    <x v="5"/>
    <s v="Jeans"/>
    <n v="220"/>
    <n v="3"/>
    <n v="660"/>
    <n v="45"/>
    <s v="Female"/>
    <s v="Chennai"/>
    <s v="Facebook Ads"/>
    <s v="PayPal"/>
    <n v="0.3"/>
    <s v="Yes"/>
    <s v="December"/>
  </r>
  <r>
    <n v="1697"/>
    <d v="2023-08-24T00:00:00"/>
    <x v="1"/>
    <s v="Curtains"/>
    <n v="1032"/>
    <n v="5"/>
    <n v="5160"/>
    <n v="35"/>
    <s v="Male"/>
    <s v="Mumbai"/>
    <s v="Instagram"/>
    <s v="PayPal"/>
    <n v="0.1"/>
    <s v="Yes"/>
    <s v="August"/>
  </r>
  <r>
    <n v="1698"/>
    <d v="2024-01-15T00:00:00"/>
    <x v="2"/>
    <s v="Laptop"/>
    <n v="1187"/>
    <n v="5"/>
    <n v="5935"/>
    <n v="47"/>
    <s v="Female"/>
    <s v="Bangalore"/>
    <s v="Email Campaign"/>
    <s v="UPI"/>
    <n v="0.25"/>
    <s v="Yes"/>
    <s v="January"/>
  </r>
  <r>
    <n v="1699"/>
    <d v="2024-01-08T00:00:00"/>
    <x v="5"/>
    <s v="Dress"/>
    <n v="402"/>
    <n v="1"/>
    <n v="402"/>
    <n v="28"/>
    <s v="Male"/>
    <s v="Mumbai"/>
    <s v="Google Ads"/>
    <s v="Cash on Delivery"/>
    <n v="0.05"/>
    <s v="Yes"/>
    <s v="January"/>
  </r>
  <r>
    <n v="1700"/>
    <d v="2024-01-14T00:00:00"/>
    <x v="3"/>
    <s v="Milk"/>
    <n v="453"/>
    <n v="3"/>
    <n v="1359"/>
    <n v="35"/>
    <s v="Male"/>
    <s v="Lucknow"/>
    <s v="Referral"/>
    <s v="Debit Card"/>
    <n v="0.25"/>
    <s v="Yes"/>
    <s v="January"/>
  </r>
  <r>
    <n v="1701"/>
    <d v="2023-03-17T00:00:00"/>
    <x v="3"/>
    <s v="Milk"/>
    <n v="665"/>
    <n v="3"/>
    <n v="1995"/>
    <n v="30"/>
    <s v="Female"/>
    <s v="Chennai"/>
    <s v="Organic Search"/>
    <s v="Credit Card"/>
    <n v="0.05"/>
    <s v="Yes"/>
    <s v="March"/>
  </r>
  <r>
    <n v="1702"/>
    <d v="2024-02-03T00:00:00"/>
    <x v="0"/>
    <s v="Board Game"/>
    <n v="559"/>
    <n v="5"/>
    <n v="2795"/>
    <n v="20"/>
    <s v="Female"/>
    <s v="Lucknow"/>
    <s v="Email Campaign"/>
    <s v="UPI"/>
    <n v="0.3"/>
    <s v="Yes"/>
    <s v="February"/>
  </r>
  <r>
    <n v="1703"/>
    <d v="2023-07-30T00:00:00"/>
    <x v="6"/>
    <s v="Formal Shoes"/>
    <n v="394"/>
    <n v="3"/>
    <n v="1182"/>
    <n v="20"/>
    <s v="Male"/>
    <s v="Chennai"/>
    <s v="Email Campaign"/>
    <s v="Credit Card"/>
    <n v="0.15"/>
    <s v="No"/>
    <s v="July"/>
  </r>
  <r>
    <n v="1704"/>
    <d v="2023-11-06T00:00:00"/>
    <x v="4"/>
    <s v="Football"/>
    <n v="185"/>
    <n v="2"/>
    <n v="370"/>
    <n v="54"/>
    <s v="Male"/>
    <s v="Delhi"/>
    <s v="Instagram"/>
    <s v="Cash on Delivery"/>
    <n v="0.25"/>
    <s v="No"/>
    <s v="November"/>
  </r>
  <r>
    <n v="1705"/>
    <d v="2024-01-10T00:00:00"/>
    <x v="1"/>
    <s v="Curtains"/>
    <n v="1225"/>
    <n v="3"/>
    <n v="3675"/>
    <n v="38"/>
    <s v="Male"/>
    <s v="Hyderabad"/>
    <s v="Facebook Ads"/>
    <s v="UPI"/>
    <n v="0.25"/>
    <s v="Yes"/>
    <s v="January"/>
  </r>
  <r>
    <n v="1706"/>
    <d v="2023-02-12T00:00:00"/>
    <x v="4"/>
    <s v="Football"/>
    <n v="950"/>
    <n v="3"/>
    <n v="2850"/>
    <n v="50"/>
    <s v="Female"/>
    <s v="Lucknow"/>
    <s v="Referral"/>
    <s v="Cash on Delivery"/>
    <n v="0.15"/>
    <s v="No"/>
    <s v="February"/>
  </r>
  <r>
    <n v="1707"/>
    <d v="2023-09-11T00:00:00"/>
    <x v="3"/>
    <s v="Cereal Pack"/>
    <n v="1329"/>
    <n v="3"/>
    <n v="3987"/>
    <n v="21"/>
    <s v="Male"/>
    <s v="Pune"/>
    <s v="Organic Search"/>
    <s v="Debit Card"/>
    <n v="0.05"/>
    <s v="No"/>
    <s v="September"/>
  </r>
  <r>
    <n v="1708"/>
    <d v="2023-12-28T00:00:00"/>
    <x v="4"/>
    <s v="Skipping Rope"/>
    <n v="319"/>
    <n v="3"/>
    <n v="957"/>
    <n v="36"/>
    <s v="Male"/>
    <s v="Chennai"/>
    <s v="Email Campaign"/>
    <s v="Credit Card"/>
    <n v="0.2"/>
    <s v="No"/>
    <s v="December"/>
  </r>
  <r>
    <n v="1709"/>
    <d v="2023-11-08T00:00:00"/>
    <x v="3"/>
    <s v="Organic Vegetables"/>
    <n v="363"/>
    <n v="4"/>
    <n v="1452"/>
    <n v="52"/>
    <s v="Male"/>
    <s v="Hyderabad"/>
    <s v="Organic Search"/>
    <s v="Debit Card"/>
    <n v="0.05"/>
    <s v="Yes"/>
    <s v="November"/>
  </r>
  <r>
    <n v="1710"/>
    <d v="2023-12-15T00:00:00"/>
    <x v="5"/>
    <s v="Jeans"/>
    <n v="974"/>
    <n v="4"/>
    <n v="3896"/>
    <n v="41"/>
    <s v="Female"/>
    <s v="Pune"/>
    <s v="Organic Search"/>
    <s v="Debit Card"/>
    <n v="0.3"/>
    <s v="No"/>
    <s v="December"/>
  </r>
  <r>
    <n v="1711"/>
    <d v="2023-11-29T00:00:00"/>
    <x v="3"/>
    <s v="Cereal Pack"/>
    <n v="166"/>
    <n v="2"/>
    <n v="332"/>
    <n v="23"/>
    <s v="Female"/>
    <s v="Delhi"/>
    <s v="Referral"/>
    <s v="PayPal"/>
    <n v="0.15"/>
    <s v="Yes"/>
    <s v="November"/>
  </r>
  <r>
    <n v="1712"/>
    <d v="2023-05-25T00:00:00"/>
    <x v="6"/>
    <s v="Sneakers"/>
    <n v="531"/>
    <n v="3"/>
    <n v="1593"/>
    <n v="26"/>
    <s v="Male"/>
    <s v="Lucknow"/>
    <s v="Email Campaign"/>
    <s v="PayPal"/>
    <n v="0.25"/>
    <s v="No"/>
    <s v="May"/>
  </r>
  <r>
    <n v="1713"/>
    <d v="2023-04-30T00:00:00"/>
    <x v="3"/>
    <s v="Coffee"/>
    <n v="535"/>
    <n v="4"/>
    <n v="2140"/>
    <n v="26"/>
    <s v="Female"/>
    <s v="Ahmedabad"/>
    <s v="Instagram"/>
    <s v="Debit Card"/>
    <n v="0.25"/>
    <s v="Yes"/>
    <s v="April"/>
  </r>
  <r>
    <n v="1714"/>
    <d v="2023-09-30T00:00:00"/>
    <x v="4"/>
    <s v="Football"/>
    <n v="498"/>
    <n v="1"/>
    <n v="498"/>
    <n v="26"/>
    <s v="Female"/>
    <s v="Mumbai"/>
    <s v="Email Campaign"/>
    <s v="Cash on Delivery"/>
    <n v="0.15"/>
    <s v="Yes"/>
    <s v="September"/>
  </r>
  <r>
    <n v="1715"/>
    <d v="2023-10-21T00:00:00"/>
    <x v="1"/>
    <s v="Carpet"/>
    <n v="985"/>
    <n v="2"/>
    <n v="1970"/>
    <n v="34"/>
    <s v="Male"/>
    <s v="Ahmedabad"/>
    <s v="Instagram"/>
    <s v="Credit Card"/>
    <n v="0.2"/>
    <s v="No"/>
    <s v="October"/>
  </r>
  <r>
    <n v="1716"/>
    <d v="2023-05-03T00:00:00"/>
    <x v="6"/>
    <s v="Running Shoes"/>
    <n v="1342"/>
    <n v="2"/>
    <n v="2684"/>
    <n v="56"/>
    <s v="Female"/>
    <s v="Chennai"/>
    <s v="Referral"/>
    <s v="Debit Card"/>
    <n v="0.25"/>
    <s v="Yes"/>
    <s v="May"/>
  </r>
  <r>
    <n v="1717"/>
    <d v="2023-10-30T00:00:00"/>
    <x v="2"/>
    <s v="Smartphone"/>
    <n v="136"/>
    <n v="4"/>
    <n v="544"/>
    <n v="19"/>
    <s v="Female"/>
    <s v="Mumbai"/>
    <s v="Referral"/>
    <s v="PayPal"/>
    <n v="0.25"/>
    <s v="Yes"/>
    <s v="October"/>
  </r>
  <r>
    <n v="1718"/>
    <d v="2023-03-05T00:00:00"/>
    <x v="6"/>
    <s v="Sandals"/>
    <n v="712"/>
    <n v="3"/>
    <n v="2136"/>
    <n v="46"/>
    <s v="Female"/>
    <s v="Ahmedabad"/>
    <s v="Organic Search"/>
    <s v="Cash on Delivery"/>
    <n v="0.05"/>
    <s v="No"/>
    <s v="March"/>
  </r>
  <r>
    <n v="1719"/>
    <d v="2023-12-04T00:00:00"/>
    <x v="0"/>
    <s v="Lego Set"/>
    <n v="254"/>
    <n v="1"/>
    <n v="254"/>
    <n v="29"/>
    <s v="Female"/>
    <s v="Delhi"/>
    <s v="Email Campaign"/>
    <s v="Cash on Delivery"/>
    <n v="0.2"/>
    <s v="Yes"/>
    <s v="December"/>
  </r>
  <r>
    <n v="1720"/>
    <d v="2023-07-19T00:00:00"/>
    <x v="2"/>
    <s v="Smartphone"/>
    <n v="1135"/>
    <n v="2"/>
    <n v="2270"/>
    <n v="48"/>
    <s v="Female"/>
    <s v="Lucknow"/>
    <s v="Google Ads"/>
    <s v="Cash on Delivery"/>
    <n v="0.25"/>
    <s v="No"/>
    <s v="July"/>
  </r>
  <r>
    <n v="1721"/>
    <d v="2023-02-28T00:00:00"/>
    <x v="2"/>
    <s v="Smartphone"/>
    <n v="244"/>
    <n v="1"/>
    <n v="244"/>
    <n v="53"/>
    <s v="Male"/>
    <s v="Jaipur"/>
    <s v="Email Campaign"/>
    <s v="PayPal"/>
    <n v="0.3"/>
    <s v="No"/>
    <s v="February"/>
  </r>
  <r>
    <n v="1722"/>
    <d v="2024-01-31T00:00:00"/>
    <x v="2"/>
    <s v="Headphones"/>
    <n v="1083"/>
    <n v="4"/>
    <n v="4332"/>
    <n v="21"/>
    <s v="Female"/>
    <s v="Chennai"/>
    <s v="Instagram"/>
    <s v="Credit Card"/>
    <n v="0.15"/>
    <s v="Yes"/>
    <s v="January"/>
  </r>
  <r>
    <n v="1723"/>
    <d v="2023-11-06T00:00:00"/>
    <x v="2"/>
    <s v="Tablet"/>
    <n v="713"/>
    <n v="2"/>
    <n v="1426"/>
    <n v="49"/>
    <s v="Male"/>
    <s v="Kolkata"/>
    <s v="Referral"/>
    <s v="Cash on Delivery"/>
    <n v="0.25"/>
    <s v="No"/>
    <s v="November"/>
  </r>
  <r>
    <n v="1724"/>
    <d v="2023-05-21T00:00:00"/>
    <x v="5"/>
    <s v="Sweater"/>
    <n v="1097"/>
    <n v="1"/>
    <n v="1097"/>
    <n v="21"/>
    <s v="Male"/>
    <s v="Pune"/>
    <s v="Organic Search"/>
    <s v="Debit Card"/>
    <n v="0.3"/>
    <s v="Yes"/>
    <s v="May"/>
  </r>
  <r>
    <n v="1725"/>
    <d v="2023-05-02T00:00:00"/>
    <x v="3"/>
    <s v="Cereal Pack"/>
    <n v="1260"/>
    <n v="4"/>
    <n v="5040"/>
    <n v="19"/>
    <s v="Female"/>
    <s v="Pune"/>
    <s v="Instagram"/>
    <s v="UPI"/>
    <n v="0.15"/>
    <s v="Yes"/>
    <s v="May"/>
  </r>
  <r>
    <n v="1726"/>
    <d v="2023-10-23T00:00:00"/>
    <x v="6"/>
    <s v="Running Shoes"/>
    <n v="1236"/>
    <n v="3"/>
    <n v="3708"/>
    <n v="57"/>
    <s v="Male"/>
    <s v="Ahmedabad"/>
    <s v="Instagram"/>
    <s v="Cash on Delivery"/>
    <n v="0.2"/>
    <s v="No"/>
    <s v="October"/>
  </r>
  <r>
    <n v="1727"/>
    <d v="2023-06-17T00:00:00"/>
    <x v="5"/>
    <s v="Dress"/>
    <n v="767"/>
    <n v="5"/>
    <n v="3835"/>
    <n v="48"/>
    <s v="Female"/>
    <s v="Chennai"/>
    <s v="Facebook Ads"/>
    <s v="Cash on Delivery"/>
    <n v="0.05"/>
    <s v="Yes"/>
    <s v="June"/>
  </r>
  <r>
    <n v="1728"/>
    <d v="2023-12-13T00:00:00"/>
    <x v="4"/>
    <s v="Football"/>
    <n v="105"/>
    <n v="2"/>
    <n v="210"/>
    <n v="23"/>
    <s v="Female"/>
    <s v="Mumbai"/>
    <s v="Instagram"/>
    <s v="Credit Card"/>
    <n v="0.3"/>
    <s v="Yes"/>
    <s v="December"/>
  </r>
  <r>
    <n v="1729"/>
    <d v="2023-05-11T00:00:00"/>
    <x v="0"/>
    <s v="Puzzle"/>
    <n v="1488"/>
    <n v="5"/>
    <n v="7440"/>
    <n v="51"/>
    <s v="Female"/>
    <s v="Kolkata"/>
    <s v="Referral"/>
    <s v="Cash on Delivery"/>
    <n v="0.3"/>
    <s v="No"/>
    <s v="May"/>
  </r>
  <r>
    <n v="1730"/>
    <d v="2023-04-12T00:00:00"/>
    <x v="4"/>
    <s v="Football"/>
    <n v="92"/>
    <n v="5"/>
    <n v="460"/>
    <n v="26"/>
    <s v="Male"/>
    <s v="Bangalore"/>
    <s v="Email Campaign"/>
    <s v="UPI"/>
    <n v="0.3"/>
    <s v="No"/>
    <s v="April"/>
  </r>
  <r>
    <n v="1731"/>
    <d v="2023-09-21T00:00:00"/>
    <x v="2"/>
    <s v="Headphones"/>
    <n v="975"/>
    <n v="5"/>
    <n v="4875"/>
    <n v="22"/>
    <s v="Female"/>
    <s v="Hyderabad"/>
    <s v="Facebook Ads"/>
    <s v="Debit Card"/>
    <n v="0.15"/>
    <s v="Yes"/>
    <s v="September"/>
  </r>
  <r>
    <n v="1732"/>
    <d v="2023-04-17T00:00:00"/>
    <x v="1"/>
    <s v="Table Lamp"/>
    <n v="1212"/>
    <n v="2"/>
    <n v="2424"/>
    <n v="33"/>
    <s v="Male"/>
    <s v="Mumbai"/>
    <s v="Facebook Ads"/>
    <s v="Debit Card"/>
    <n v="0.05"/>
    <s v="Yes"/>
    <s v="April"/>
  </r>
  <r>
    <n v="1733"/>
    <d v="2023-02-08T00:00:00"/>
    <x v="1"/>
    <s v="Cushions"/>
    <n v="909"/>
    <n v="2"/>
    <n v="1818"/>
    <n v="55"/>
    <s v="Female"/>
    <s v="Delhi"/>
    <s v="Organic Search"/>
    <s v="Debit Card"/>
    <n v="0.3"/>
    <s v="No"/>
    <s v="February"/>
  </r>
  <r>
    <n v="1734"/>
    <d v="2023-07-22T00:00:00"/>
    <x v="2"/>
    <s v="Laptop"/>
    <n v="623"/>
    <n v="1"/>
    <n v="623"/>
    <n v="50"/>
    <s v="Male"/>
    <s v="Jaipur"/>
    <s v="Facebook Ads"/>
    <s v="PayPal"/>
    <n v="0.15"/>
    <s v="No"/>
    <s v="July"/>
  </r>
  <r>
    <n v="1735"/>
    <d v="2023-10-13T00:00:00"/>
    <x v="0"/>
    <s v="Lego Set"/>
    <n v="432"/>
    <n v="4"/>
    <n v="1728"/>
    <n v="48"/>
    <s v="Female"/>
    <s v="Jaipur"/>
    <s v="Organic Search"/>
    <s v="Debit Card"/>
    <n v="0.3"/>
    <s v="No"/>
    <s v="October"/>
  </r>
  <r>
    <n v="1736"/>
    <d v="2023-01-05T00:00:00"/>
    <x v="1"/>
    <s v="Carpet"/>
    <n v="556"/>
    <n v="5"/>
    <n v="2780"/>
    <n v="32"/>
    <s v="Male"/>
    <s v="Lucknow"/>
    <s v="Facebook Ads"/>
    <s v="Debit Card"/>
    <n v="0.2"/>
    <s v="No"/>
    <s v="January"/>
  </r>
  <r>
    <n v="1737"/>
    <d v="2023-11-10T00:00:00"/>
    <x v="0"/>
    <s v="Lego Set"/>
    <n v="852"/>
    <n v="2"/>
    <n v="1704"/>
    <n v="39"/>
    <s v="Female"/>
    <s v="Chennai"/>
    <s v="Email Campaign"/>
    <s v="Debit Card"/>
    <n v="0.05"/>
    <s v="Yes"/>
    <s v="November"/>
  </r>
  <r>
    <n v="1738"/>
    <d v="2023-03-23T00:00:00"/>
    <x v="4"/>
    <s v="Football"/>
    <n v="511"/>
    <n v="3"/>
    <n v="1533"/>
    <n v="33"/>
    <s v="Male"/>
    <s v="Pune"/>
    <s v="Facebook Ads"/>
    <s v="Credit Card"/>
    <n v="0.15"/>
    <s v="No"/>
    <s v="March"/>
  </r>
  <r>
    <n v="1739"/>
    <d v="2023-07-30T00:00:00"/>
    <x v="0"/>
    <s v="Remote Car"/>
    <n v="827"/>
    <n v="5"/>
    <n v="4135"/>
    <n v="24"/>
    <s v="Female"/>
    <s v="Ahmedabad"/>
    <s v="Instagram"/>
    <s v="UPI"/>
    <n v="0.2"/>
    <s v="No"/>
    <s v="July"/>
  </r>
  <r>
    <n v="1740"/>
    <d v="2023-12-29T00:00:00"/>
    <x v="3"/>
    <s v="Milk"/>
    <n v="164"/>
    <n v="3"/>
    <n v="492"/>
    <n v="30"/>
    <s v="Male"/>
    <s v="Ahmedabad"/>
    <s v="Organic Search"/>
    <s v="Cash on Delivery"/>
    <n v="0.3"/>
    <s v="No"/>
    <s v="December"/>
  </r>
  <r>
    <n v="1741"/>
    <d v="2023-03-06T00:00:00"/>
    <x v="3"/>
    <s v="Milk"/>
    <n v="744"/>
    <n v="1"/>
    <n v="744"/>
    <n v="19"/>
    <s v="Female"/>
    <s v="Lucknow"/>
    <s v="Instagram"/>
    <s v="Debit Card"/>
    <n v="0.2"/>
    <s v="No"/>
    <s v="March"/>
  </r>
  <r>
    <n v="1742"/>
    <d v="2023-08-01T00:00:00"/>
    <x v="1"/>
    <s v="Table Lamp"/>
    <n v="149"/>
    <n v="2"/>
    <n v="298"/>
    <n v="46"/>
    <s v="Female"/>
    <s v="Hyderabad"/>
    <s v="Organic Search"/>
    <s v="UPI"/>
    <n v="0.15"/>
    <s v="No"/>
    <s v="August"/>
  </r>
  <r>
    <n v="1743"/>
    <d v="2023-08-23T00:00:00"/>
    <x v="0"/>
    <s v="Puzzle"/>
    <n v="146"/>
    <n v="1"/>
    <n v="146"/>
    <n v="48"/>
    <s v="Female"/>
    <s v="Hyderabad"/>
    <s v="Instagram"/>
    <s v="PayPal"/>
    <n v="0.15"/>
    <s v="Yes"/>
    <s v="August"/>
  </r>
  <r>
    <n v="1744"/>
    <d v="2023-07-02T00:00:00"/>
    <x v="3"/>
    <s v="Organic Vegetables"/>
    <n v="154"/>
    <n v="3"/>
    <n v="462"/>
    <n v="36"/>
    <s v="Male"/>
    <s v="Kolkata"/>
    <s v="Instagram"/>
    <s v="PayPal"/>
    <n v="0.15"/>
    <s v="Yes"/>
    <s v="July"/>
  </r>
  <r>
    <n v="1745"/>
    <d v="2023-07-22T00:00:00"/>
    <x v="3"/>
    <s v="Coffee"/>
    <n v="791"/>
    <n v="2"/>
    <n v="1582"/>
    <n v="18"/>
    <s v="Female"/>
    <s v="Ahmedabad"/>
    <s v="Google Ads"/>
    <s v="Cash on Delivery"/>
    <n v="0.05"/>
    <s v="Yes"/>
    <s v="July"/>
  </r>
  <r>
    <n v="1746"/>
    <d v="2023-05-28T00:00:00"/>
    <x v="4"/>
    <s v="Tennis Racket"/>
    <n v="82"/>
    <n v="5"/>
    <n v="410"/>
    <n v="35"/>
    <s v="Male"/>
    <s v="Pune"/>
    <s v="Instagram"/>
    <s v="UPI"/>
    <n v="0.05"/>
    <s v="No"/>
    <s v="May"/>
  </r>
  <r>
    <n v="1747"/>
    <d v="2024-01-26T00:00:00"/>
    <x v="0"/>
    <s v="Dollhouse"/>
    <n v="1410"/>
    <n v="1"/>
    <n v="1410"/>
    <n v="18"/>
    <s v="Female"/>
    <s v="Chennai"/>
    <s v="Facebook Ads"/>
    <s v="Credit Card"/>
    <n v="0.15"/>
    <s v="Yes"/>
    <s v="January"/>
  </r>
  <r>
    <n v="1748"/>
    <d v="2023-11-08T00:00:00"/>
    <x v="3"/>
    <s v="Bread"/>
    <n v="774"/>
    <n v="3"/>
    <n v="2322"/>
    <n v="18"/>
    <s v="Male"/>
    <s v="Mumbai"/>
    <s v="Referral"/>
    <s v="Credit Card"/>
    <n v="0.1"/>
    <s v="No"/>
    <s v="November"/>
  </r>
  <r>
    <n v="1749"/>
    <d v="2023-09-12T00:00:00"/>
    <x v="5"/>
    <s v="T-shirt"/>
    <n v="483"/>
    <n v="3"/>
    <n v="1449"/>
    <n v="50"/>
    <s v="Male"/>
    <s v="Bangalore"/>
    <s v="Email Campaign"/>
    <s v="Debit Card"/>
    <n v="0.05"/>
    <s v="No"/>
    <s v="September"/>
  </r>
  <r>
    <n v="1750"/>
    <d v="2024-01-29T00:00:00"/>
    <x v="4"/>
    <s v="Yoga Mat"/>
    <n v="507"/>
    <n v="5"/>
    <n v="2535"/>
    <n v="27"/>
    <s v="Female"/>
    <s v="Mumbai"/>
    <s v="Email Campaign"/>
    <s v="Cash on Delivery"/>
    <n v="0.2"/>
    <s v="Yes"/>
    <s v="January"/>
  </r>
  <r>
    <n v="1751"/>
    <d v="2023-07-09T00:00:00"/>
    <x v="5"/>
    <s v="Dress"/>
    <n v="967"/>
    <n v="2"/>
    <n v="1934"/>
    <n v="34"/>
    <s v="Male"/>
    <s v="Mumbai"/>
    <s v="Facebook Ads"/>
    <s v="PayPal"/>
    <n v="0.2"/>
    <s v="Yes"/>
    <s v="July"/>
  </r>
  <r>
    <n v="1752"/>
    <d v="2023-12-27T00:00:00"/>
    <x v="0"/>
    <s v="Lego Set"/>
    <n v="1213"/>
    <n v="2"/>
    <n v="2426"/>
    <n v="55"/>
    <s v="Male"/>
    <s v="Delhi"/>
    <s v="Organic Search"/>
    <s v="UPI"/>
    <n v="0.25"/>
    <s v="Yes"/>
    <s v="December"/>
  </r>
  <r>
    <n v="1753"/>
    <d v="2023-01-24T00:00:00"/>
    <x v="0"/>
    <s v="Puzzle"/>
    <n v="238"/>
    <n v="5"/>
    <n v="1190"/>
    <n v="59"/>
    <s v="Male"/>
    <s v="Mumbai"/>
    <s v="Referral"/>
    <s v="PayPal"/>
    <n v="0.15"/>
    <s v="Yes"/>
    <s v="January"/>
  </r>
  <r>
    <n v="1754"/>
    <d v="2023-12-22T00:00:00"/>
    <x v="6"/>
    <s v="Sandals"/>
    <n v="629"/>
    <n v="5"/>
    <n v="3145"/>
    <n v="54"/>
    <s v="Female"/>
    <s v="Lucknow"/>
    <s v="Google Ads"/>
    <s v="UPI"/>
    <n v="0.2"/>
    <s v="No"/>
    <s v="December"/>
  </r>
  <r>
    <n v="1755"/>
    <d v="2023-06-06T00:00:00"/>
    <x v="3"/>
    <s v="Cereal Pack"/>
    <n v="77"/>
    <n v="2"/>
    <n v="154"/>
    <n v="45"/>
    <s v="Male"/>
    <s v="Ahmedabad"/>
    <s v="Organic Search"/>
    <s v="UPI"/>
    <n v="0.2"/>
    <s v="Yes"/>
    <s v="June"/>
  </r>
  <r>
    <n v="1756"/>
    <d v="2023-01-14T00:00:00"/>
    <x v="5"/>
    <s v="Jeans"/>
    <n v="135"/>
    <n v="1"/>
    <n v="135"/>
    <n v="50"/>
    <s v="Female"/>
    <s v="Hyderabad"/>
    <s v="Email Campaign"/>
    <s v="PayPal"/>
    <n v="0.15"/>
    <s v="No"/>
    <s v="January"/>
  </r>
  <r>
    <n v="1757"/>
    <d v="2024-01-22T00:00:00"/>
    <x v="6"/>
    <s v="Boots"/>
    <n v="804"/>
    <n v="4"/>
    <n v="3216"/>
    <n v="37"/>
    <s v="Female"/>
    <s v="Ahmedabad"/>
    <s v="Facebook Ads"/>
    <s v="Cash on Delivery"/>
    <n v="0.2"/>
    <s v="Yes"/>
    <s v="January"/>
  </r>
  <r>
    <n v="1758"/>
    <d v="2023-07-11T00:00:00"/>
    <x v="6"/>
    <s v="Formal Shoes"/>
    <n v="569"/>
    <n v="4"/>
    <n v="2276"/>
    <n v="25"/>
    <s v="Male"/>
    <s v="Bangalore"/>
    <s v="Email Campaign"/>
    <s v="UPI"/>
    <n v="0.15"/>
    <s v="No"/>
    <s v="July"/>
  </r>
  <r>
    <n v="1759"/>
    <d v="2023-09-08T00:00:00"/>
    <x v="3"/>
    <s v="Cereal Pack"/>
    <n v="1108"/>
    <n v="5"/>
    <n v="5540"/>
    <n v="40"/>
    <s v="Male"/>
    <s v="Pune"/>
    <s v="Organic Search"/>
    <s v="UPI"/>
    <n v="0.1"/>
    <s v="No"/>
    <s v="September"/>
  </r>
  <r>
    <n v="1760"/>
    <d v="2023-09-24T00:00:00"/>
    <x v="4"/>
    <s v="Yoga Mat"/>
    <n v="796"/>
    <n v="3"/>
    <n v="2388"/>
    <n v="19"/>
    <s v="Male"/>
    <s v="Pune"/>
    <s v="Google Ads"/>
    <s v="UPI"/>
    <n v="0.15"/>
    <s v="Yes"/>
    <s v="September"/>
  </r>
  <r>
    <n v="1761"/>
    <d v="2023-09-29T00:00:00"/>
    <x v="1"/>
    <s v="Curtains"/>
    <n v="864"/>
    <n v="1"/>
    <n v="864"/>
    <n v="45"/>
    <s v="Male"/>
    <s v="Chennai"/>
    <s v="Google Ads"/>
    <s v="Credit Card"/>
    <n v="0.25"/>
    <s v="Yes"/>
    <s v="September"/>
  </r>
  <r>
    <n v="1762"/>
    <d v="2023-03-18T00:00:00"/>
    <x v="6"/>
    <s v="Formal Shoes"/>
    <n v="97"/>
    <n v="4"/>
    <n v="388"/>
    <n v="21"/>
    <s v="Female"/>
    <s v="Delhi"/>
    <s v="Email Campaign"/>
    <s v="Debit Card"/>
    <n v="0.2"/>
    <s v="Yes"/>
    <s v="March"/>
  </r>
  <r>
    <n v="1763"/>
    <d v="2023-05-11T00:00:00"/>
    <x v="6"/>
    <s v="Formal Shoes"/>
    <n v="472"/>
    <n v="1"/>
    <n v="472"/>
    <n v="46"/>
    <s v="Female"/>
    <s v="Delhi"/>
    <s v="Organic Search"/>
    <s v="PayPal"/>
    <n v="0.1"/>
    <s v="Yes"/>
    <s v="May"/>
  </r>
  <r>
    <n v="1764"/>
    <d v="2023-12-23T00:00:00"/>
    <x v="4"/>
    <s v="Tennis Racket"/>
    <n v="501"/>
    <n v="3"/>
    <n v="1503"/>
    <n v="42"/>
    <s v="Female"/>
    <s v="Delhi"/>
    <s v="Instagram"/>
    <s v="Cash on Delivery"/>
    <n v="0.15"/>
    <s v="No"/>
    <s v="December"/>
  </r>
  <r>
    <n v="1765"/>
    <d v="2024-01-15T00:00:00"/>
    <x v="2"/>
    <s v="Laptop"/>
    <n v="55"/>
    <n v="4"/>
    <n v="220"/>
    <n v="18"/>
    <s v="Female"/>
    <s v="Lucknow"/>
    <s v="Google Ads"/>
    <s v="Debit Card"/>
    <n v="0.15"/>
    <s v="No"/>
    <s v="January"/>
  </r>
  <r>
    <n v="1766"/>
    <d v="2023-04-24T00:00:00"/>
    <x v="3"/>
    <s v="Bread"/>
    <n v="642"/>
    <n v="2"/>
    <n v="1284"/>
    <n v="55"/>
    <s v="Male"/>
    <s v="Delhi"/>
    <s v="Referral"/>
    <s v="Credit Card"/>
    <n v="0.25"/>
    <s v="Yes"/>
    <s v="April"/>
  </r>
  <r>
    <n v="1767"/>
    <d v="2023-04-15T00:00:00"/>
    <x v="0"/>
    <s v="Puzzle"/>
    <n v="1246"/>
    <n v="3"/>
    <n v="3738"/>
    <n v="49"/>
    <s v="Male"/>
    <s v="Chennai"/>
    <s v="Referral"/>
    <s v="Debit Card"/>
    <n v="0.15"/>
    <s v="No"/>
    <s v="April"/>
  </r>
  <r>
    <n v="1768"/>
    <d v="2023-03-31T00:00:00"/>
    <x v="1"/>
    <s v="Carpet"/>
    <n v="401"/>
    <n v="2"/>
    <n v="802"/>
    <n v="25"/>
    <s v="Male"/>
    <s v="Jaipur"/>
    <s v="Email Campaign"/>
    <s v="Debit Card"/>
    <n v="0.25"/>
    <s v="Yes"/>
    <s v="March"/>
  </r>
  <r>
    <n v="1769"/>
    <d v="2023-04-16T00:00:00"/>
    <x v="6"/>
    <s v="Sandals"/>
    <n v="875"/>
    <n v="1"/>
    <n v="875"/>
    <n v="25"/>
    <s v="Female"/>
    <s v="Hyderabad"/>
    <s v="Referral"/>
    <s v="Credit Card"/>
    <n v="0.3"/>
    <s v="Yes"/>
    <s v="April"/>
  </r>
  <r>
    <n v="1770"/>
    <d v="2023-01-23T00:00:00"/>
    <x v="6"/>
    <s v="Formal Shoes"/>
    <n v="505"/>
    <n v="5"/>
    <n v="2525"/>
    <n v="52"/>
    <s v="Male"/>
    <s v="Bangalore"/>
    <s v="Facebook Ads"/>
    <s v="UPI"/>
    <n v="0.3"/>
    <s v="No"/>
    <s v="January"/>
  </r>
  <r>
    <n v="1771"/>
    <d v="2023-12-22T00:00:00"/>
    <x v="6"/>
    <s v="Boots"/>
    <n v="1316"/>
    <n v="3"/>
    <n v="3948"/>
    <n v="20"/>
    <s v="Male"/>
    <s v="Ahmedabad"/>
    <s v="Referral"/>
    <s v="Credit Card"/>
    <n v="0.3"/>
    <s v="Yes"/>
    <s v="December"/>
  </r>
  <r>
    <n v="1772"/>
    <d v="2023-08-04T00:00:00"/>
    <x v="2"/>
    <s v="Smartwatch"/>
    <n v="316"/>
    <n v="3"/>
    <n v="948"/>
    <n v="35"/>
    <s v="Female"/>
    <s v="Lucknow"/>
    <s v="Facebook Ads"/>
    <s v="UPI"/>
    <n v="0.1"/>
    <s v="Yes"/>
    <s v="August"/>
  </r>
  <r>
    <n v="1773"/>
    <d v="2023-10-21T00:00:00"/>
    <x v="5"/>
    <s v="T-shirt"/>
    <n v="136"/>
    <n v="3"/>
    <n v="408"/>
    <n v="18"/>
    <s v="Female"/>
    <s v="Jaipur"/>
    <s v="Instagram"/>
    <s v="Credit Card"/>
    <n v="0.1"/>
    <s v="Yes"/>
    <s v="October"/>
  </r>
  <r>
    <n v="1774"/>
    <d v="2023-12-01T00:00:00"/>
    <x v="2"/>
    <s v="Laptop"/>
    <n v="56"/>
    <n v="4"/>
    <n v="224"/>
    <n v="18"/>
    <s v="Female"/>
    <s v="Jaipur"/>
    <s v="Organic Search"/>
    <s v="Credit Card"/>
    <n v="0.3"/>
    <s v="No"/>
    <s v="December"/>
  </r>
  <r>
    <n v="1775"/>
    <d v="2023-09-14T00:00:00"/>
    <x v="5"/>
    <s v="Winter Jacket"/>
    <n v="1235"/>
    <n v="3"/>
    <n v="3705"/>
    <n v="26"/>
    <s v="Male"/>
    <s v="Bangalore"/>
    <s v="Organic Search"/>
    <s v="Cash on Delivery"/>
    <n v="0.05"/>
    <s v="Yes"/>
    <s v="September"/>
  </r>
  <r>
    <n v="1776"/>
    <d v="2023-10-07T00:00:00"/>
    <x v="3"/>
    <s v="Bread"/>
    <n v="604"/>
    <n v="1"/>
    <n v="604"/>
    <n v="60"/>
    <s v="Male"/>
    <s v="Mumbai"/>
    <s v="Email Campaign"/>
    <s v="PayPal"/>
    <n v="0.15"/>
    <s v="No"/>
    <s v="October"/>
  </r>
  <r>
    <n v="1777"/>
    <d v="2023-08-23T00:00:00"/>
    <x v="4"/>
    <s v="Basketball"/>
    <n v="410"/>
    <n v="5"/>
    <n v="2050"/>
    <n v="33"/>
    <s v="Female"/>
    <s v="Pune"/>
    <s v="Referral"/>
    <s v="PayPal"/>
    <n v="0.1"/>
    <s v="No"/>
    <s v="August"/>
  </r>
  <r>
    <n v="1778"/>
    <d v="2024-01-13T00:00:00"/>
    <x v="3"/>
    <s v="Bread"/>
    <n v="798"/>
    <n v="5"/>
    <n v="3990"/>
    <n v="26"/>
    <s v="Male"/>
    <s v="Jaipur"/>
    <s v="Facebook Ads"/>
    <s v="Debit Card"/>
    <n v="0.25"/>
    <s v="Yes"/>
    <s v="January"/>
  </r>
  <r>
    <n v="1779"/>
    <d v="2023-05-01T00:00:00"/>
    <x v="0"/>
    <s v="Puzzle"/>
    <n v="647"/>
    <n v="4"/>
    <n v="2588"/>
    <n v="56"/>
    <s v="Male"/>
    <s v="Delhi"/>
    <s v="Google Ads"/>
    <s v="Credit Card"/>
    <n v="0.25"/>
    <s v="No"/>
    <s v="May"/>
  </r>
  <r>
    <n v="1780"/>
    <d v="2023-11-20T00:00:00"/>
    <x v="6"/>
    <s v="Boots"/>
    <n v="632"/>
    <n v="2"/>
    <n v="1264"/>
    <n v="34"/>
    <s v="Female"/>
    <s v="Ahmedabad"/>
    <s v="Google Ads"/>
    <s v="Cash on Delivery"/>
    <n v="0.15"/>
    <s v="No"/>
    <s v="November"/>
  </r>
  <r>
    <n v="1781"/>
    <d v="2023-08-09T00:00:00"/>
    <x v="5"/>
    <s v="Dress"/>
    <n v="185"/>
    <n v="1"/>
    <n v="185"/>
    <n v="27"/>
    <s v="Male"/>
    <s v="Kolkata"/>
    <s v="Instagram"/>
    <s v="Cash on Delivery"/>
    <n v="0.2"/>
    <s v="No"/>
    <s v="August"/>
  </r>
  <r>
    <n v="1782"/>
    <d v="2023-04-17T00:00:00"/>
    <x v="6"/>
    <s v="Running Shoes"/>
    <n v="1215"/>
    <n v="1"/>
    <n v="1215"/>
    <n v="26"/>
    <s v="Male"/>
    <s v="Lucknow"/>
    <s v="Email Campaign"/>
    <s v="Cash on Delivery"/>
    <n v="0.3"/>
    <s v="Yes"/>
    <s v="April"/>
  </r>
  <r>
    <n v="1783"/>
    <d v="2023-07-15T00:00:00"/>
    <x v="1"/>
    <s v="Wall Art"/>
    <n v="1388"/>
    <n v="1"/>
    <n v="1388"/>
    <n v="25"/>
    <s v="Female"/>
    <s v="Jaipur"/>
    <s v="Referral"/>
    <s v="UPI"/>
    <n v="0.05"/>
    <s v="Yes"/>
    <s v="July"/>
  </r>
  <r>
    <n v="1784"/>
    <d v="2023-04-08T00:00:00"/>
    <x v="0"/>
    <s v="Puzzle"/>
    <n v="1283"/>
    <n v="4"/>
    <n v="5132"/>
    <n v="48"/>
    <s v="Male"/>
    <s v="Bangalore"/>
    <s v="Email Campaign"/>
    <s v="PayPal"/>
    <n v="0.3"/>
    <s v="No"/>
    <s v="April"/>
  </r>
  <r>
    <n v="1785"/>
    <d v="2023-09-13T00:00:00"/>
    <x v="4"/>
    <s v="Tennis Racket"/>
    <n v="539"/>
    <n v="2"/>
    <n v="1078"/>
    <n v="54"/>
    <s v="Female"/>
    <s v="Jaipur"/>
    <s v="Google Ads"/>
    <s v="Cash on Delivery"/>
    <n v="0.25"/>
    <s v="No"/>
    <s v="September"/>
  </r>
  <r>
    <n v="1786"/>
    <d v="2023-01-09T00:00:00"/>
    <x v="5"/>
    <s v="T-shirt"/>
    <n v="673"/>
    <n v="1"/>
    <n v="673"/>
    <n v="18"/>
    <s v="Male"/>
    <s v="Bangalore"/>
    <s v="Facebook Ads"/>
    <s v="UPI"/>
    <n v="0.1"/>
    <s v="No"/>
    <s v="January"/>
  </r>
  <r>
    <n v="1787"/>
    <d v="2023-08-31T00:00:00"/>
    <x v="5"/>
    <s v="Dress"/>
    <n v="972"/>
    <n v="3"/>
    <n v="2916"/>
    <n v="34"/>
    <s v="Male"/>
    <s v="Delhi"/>
    <s v="Instagram"/>
    <s v="Credit Card"/>
    <n v="0.15"/>
    <s v="No"/>
    <s v="August"/>
  </r>
  <r>
    <n v="1788"/>
    <d v="2023-07-04T00:00:00"/>
    <x v="4"/>
    <s v="Football"/>
    <n v="385"/>
    <n v="5"/>
    <n v="1925"/>
    <n v="52"/>
    <s v="Male"/>
    <s v="Ahmedabad"/>
    <s v="Instagram"/>
    <s v="PayPal"/>
    <n v="0.25"/>
    <s v="No"/>
    <s v="July"/>
  </r>
  <r>
    <n v="1789"/>
    <d v="2023-01-09T00:00:00"/>
    <x v="6"/>
    <s v="Boots"/>
    <n v="384"/>
    <n v="4"/>
    <n v="1536"/>
    <n v="57"/>
    <s v="Male"/>
    <s v="Bangalore"/>
    <s v="Email Campaign"/>
    <s v="Debit Card"/>
    <n v="0.25"/>
    <s v="No"/>
    <s v="January"/>
  </r>
  <r>
    <n v="1790"/>
    <d v="2023-05-24T00:00:00"/>
    <x v="2"/>
    <s v="Smartwatch"/>
    <n v="1213"/>
    <n v="5"/>
    <n v="6065"/>
    <n v="40"/>
    <s v="Female"/>
    <s v="Lucknow"/>
    <s v="Email Campaign"/>
    <s v="PayPal"/>
    <n v="0.05"/>
    <s v="Yes"/>
    <s v="May"/>
  </r>
  <r>
    <n v="1791"/>
    <d v="2023-11-27T00:00:00"/>
    <x v="4"/>
    <s v="Basketball"/>
    <n v="1121"/>
    <n v="1"/>
    <n v="1121"/>
    <n v="43"/>
    <s v="Female"/>
    <s v="Delhi"/>
    <s v="Email Campaign"/>
    <s v="Credit Card"/>
    <n v="0.15"/>
    <s v="Yes"/>
    <s v="November"/>
  </r>
  <r>
    <n v="1792"/>
    <d v="2023-09-07T00:00:00"/>
    <x v="5"/>
    <s v="Winter Jacket"/>
    <n v="966"/>
    <n v="5"/>
    <n v="4830"/>
    <n v="23"/>
    <s v="Female"/>
    <s v="Hyderabad"/>
    <s v="Instagram"/>
    <s v="Debit Card"/>
    <n v="0.3"/>
    <s v="No"/>
    <s v="September"/>
  </r>
  <r>
    <n v="1793"/>
    <d v="2023-09-22T00:00:00"/>
    <x v="0"/>
    <s v="Lego Set"/>
    <n v="886"/>
    <n v="3"/>
    <n v="2658"/>
    <n v="52"/>
    <s v="Male"/>
    <s v="Bangalore"/>
    <s v="Organic Search"/>
    <s v="Debit Card"/>
    <n v="0.25"/>
    <s v="Yes"/>
    <s v="September"/>
  </r>
  <r>
    <n v="1794"/>
    <d v="2023-09-19T00:00:00"/>
    <x v="1"/>
    <s v="Carpet"/>
    <n v="511"/>
    <n v="1"/>
    <n v="511"/>
    <n v="60"/>
    <s v="Female"/>
    <s v="Chennai"/>
    <s v="Facebook Ads"/>
    <s v="PayPal"/>
    <n v="0.1"/>
    <s v="Yes"/>
    <s v="September"/>
  </r>
  <r>
    <n v="1795"/>
    <d v="2023-03-07T00:00:00"/>
    <x v="0"/>
    <s v="Lego Set"/>
    <n v="934"/>
    <n v="3"/>
    <n v="2802"/>
    <n v="59"/>
    <s v="Male"/>
    <s v="Pune"/>
    <s v="Referral"/>
    <s v="Cash on Delivery"/>
    <n v="0.05"/>
    <s v="No"/>
    <s v="March"/>
  </r>
  <r>
    <n v="1796"/>
    <d v="2023-01-23T00:00:00"/>
    <x v="1"/>
    <s v="Wall Art"/>
    <n v="479"/>
    <n v="5"/>
    <n v="2395"/>
    <n v="30"/>
    <s v="Female"/>
    <s v="Mumbai"/>
    <s v="Instagram"/>
    <s v="PayPal"/>
    <n v="0.2"/>
    <s v="Yes"/>
    <s v="January"/>
  </r>
  <r>
    <n v="1797"/>
    <d v="2024-01-30T00:00:00"/>
    <x v="0"/>
    <s v="Lego Set"/>
    <n v="151"/>
    <n v="1"/>
    <n v="151"/>
    <n v="34"/>
    <s v="Male"/>
    <s v="Pune"/>
    <s v="Google Ads"/>
    <s v="Credit Card"/>
    <n v="0.1"/>
    <s v="No"/>
    <s v="January"/>
  </r>
  <r>
    <n v="1798"/>
    <d v="2023-09-20T00:00:00"/>
    <x v="6"/>
    <s v="Formal Shoes"/>
    <n v="459"/>
    <n v="5"/>
    <n v="2295"/>
    <n v="39"/>
    <s v="Female"/>
    <s v="Lucknow"/>
    <s v="Google Ads"/>
    <s v="Debit Card"/>
    <n v="0.05"/>
    <s v="Yes"/>
    <s v="September"/>
  </r>
  <r>
    <n v="1799"/>
    <d v="2023-06-25T00:00:00"/>
    <x v="2"/>
    <s v="Smartwatch"/>
    <n v="1253"/>
    <n v="3"/>
    <n v="3759"/>
    <n v="18"/>
    <s v="Male"/>
    <s v="Mumbai"/>
    <s v="Facebook Ads"/>
    <s v="PayPal"/>
    <n v="0.3"/>
    <s v="No"/>
    <s v="June"/>
  </r>
  <r>
    <n v="1800"/>
    <d v="2023-09-10T00:00:00"/>
    <x v="1"/>
    <s v="Cushions"/>
    <n v="389"/>
    <n v="5"/>
    <n v="1945"/>
    <n v="59"/>
    <s v="Male"/>
    <s v="Mumbai"/>
    <s v="Organic Search"/>
    <s v="Cash on Delivery"/>
    <n v="0.1"/>
    <s v="No"/>
    <s v="September"/>
  </r>
  <r>
    <n v="1801"/>
    <d v="2024-01-23T00:00:00"/>
    <x v="4"/>
    <s v="Yoga Mat"/>
    <n v="873"/>
    <n v="3"/>
    <n v="2619"/>
    <n v="46"/>
    <s v="Female"/>
    <s v="Bangalore"/>
    <s v="Facebook Ads"/>
    <s v="Credit Card"/>
    <n v="0.3"/>
    <s v="Yes"/>
    <s v="January"/>
  </r>
  <r>
    <n v="1802"/>
    <d v="2023-11-04T00:00:00"/>
    <x v="4"/>
    <s v="Yoga Mat"/>
    <n v="1447"/>
    <n v="1"/>
    <n v="1447"/>
    <n v="43"/>
    <s v="Female"/>
    <s v="Mumbai"/>
    <s v="Facebook Ads"/>
    <s v="Debit Card"/>
    <n v="0.1"/>
    <s v="No"/>
    <s v="November"/>
  </r>
  <r>
    <n v="1803"/>
    <d v="2023-02-05T00:00:00"/>
    <x v="1"/>
    <s v="Wall Art"/>
    <n v="1351"/>
    <n v="5"/>
    <n v="6755"/>
    <n v="34"/>
    <s v="Male"/>
    <s v="Jaipur"/>
    <s v="Referral"/>
    <s v="Cash on Delivery"/>
    <n v="0.2"/>
    <s v="No"/>
    <s v="February"/>
  </r>
  <r>
    <n v="1804"/>
    <d v="2023-05-03T00:00:00"/>
    <x v="0"/>
    <s v="Puzzle"/>
    <n v="1496"/>
    <n v="5"/>
    <n v="7480"/>
    <n v="32"/>
    <s v="Male"/>
    <s v="Bangalore"/>
    <s v="Organic Search"/>
    <s v="PayPal"/>
    <n v="0.3"/>
    <s v="Yes"/>
    <s v="May"/>
  </r>
  <r>
    <n v="1805"/>
    <d v="2023-02-07T00:00:00"/>
    <x v="0"/>
    <s v="Board Game"/>
    <n v="124"/>
    <n v="1"/>
    <n v="124"/>
    <n v="30"/>
    <s v="Female"/>
    <s v="Delhi"/>
    <s v="Referral"/>
    <s v="PayPal"/>
    <n v="0.1"/>
    <s v="Yes"/>
    <s v="February"/>
  </r>
  <r>
    <n v="1806"/>
    <d v="2023-02-12T00:00:00"/>
    <x v="6"/>
    <s v="Sandals"/>
    <n v="23"/>
    <n v="3"/>
    <n v="69"/>
    <n v="52"/>
    <s v="Male"/>
    <s v="Kolkata"/>
    <s v="Instagram"/>
    <s v="Cash on Delivery"/>
    <n v="0.1"/>
    <s v="Yes"/>
    <s v="February"/>
  </r>
  <r>
    <n v="1807"/>
    <d v="2023-12-19T00:00:00"/>
    <x v="3"/>
    <s v="Cereal Pack"/>
    <n v="1223"/>
    <n v="3"/>
    <n v="3669"/>
    <n v="31"/>
    <s v="Female"/>
    <s v="Chennai"/>
    <s v="Google Ads"/>
    <s v="Cash on Delivery"/>
    <n v="0.1"/>
    <s v="No"/>
    <s v="December"/>
  </r>
  <r>
    <n v="1808"/>
    <d v="2023-12-14T00:00:00"/>
    <x v="0"/>
    <s v="Remote Car"/>
    <n v="1361"/>
    <n v="4"/>
    <n v="5444"/>
    <n v="29"/>
    <s v="Male"/>
    <s v="Hyderabad"/>
    <s v="Email Campaign"/>
    <s v="Cash on Delivery"/>
    <n v="0.1"/>
    <s v="No"/>
    <s v="December"/>
  </r>
  <r>
    <n v="1809"/>
    <d v="2023-09-01T00:00:00"/>
    <x v="3"/>
    <s v="Cereal Pack"/>
    <n v="617"/>
    <n v="1"/>
    <n v="617"/>
    <n v="55"/>
    <s v="Male"/>
    <s v="Bangalore"/>
    <s v="Email Campaign"/>
    <s v="UPI"/>
    <n v="0.25"/>
    <s v="Yes"/>
    <s v="September"/>
  </r>
  <r>
    <n v="1810"/>
    <d v="2023-05-14T00:00:00"/>
    <x v="6"/>
    <s v="Boots"/>
    <n v="390"/>
    <n v="4"/>
    <n v="1560"/>
    <n v="46"/>
    <s v="Female"/>
    <s v="Jaipur"/>
    <s v="Email Campaign"/>
    <s v="UPI"/>
    <n v="0.15"/>
    <s v="Yes"/>
    <s v="May"/>
  </r>
  <r>
    <n v="1811"/>
    <d v="2023-06-02T00:00:00"/>
    <x v="6"/>
    <s v="Formal Shoes"/>
    <n v="546"/>
    <n v="5"/>
    <n v="2730"/>
    <n v="40"/>
    <s v="Male"/>
    <s v="Delhi"/>
    <s v="Google Ads"/>
    <s v="UPI"/>
    <n v="0.15"/>
    <s v="Yes"/>
    <s v="June"/>
  </r>
  <r>
    <n v="1812"/>
    <d v="2023-05-20T00:00:00"/>
    <x v="2"/>
    <s v="Laptop"/>
    <n v="23"/>
    <n v="5"/>
    <n v="115"/>
    <n v="41"/>
    <s v="Male"/>
    <s v="Mumbai"/>
    <s v="Email Campaign"/>
    <s v="Debit Card"/>
    <n v="0.1"/>
    <s v="Yes"/>
    <s v="May"/>
  </r>
  <r>
    <n v="1813"/>
    <d v="2023-10-06T00:00:00"/>
    <x v="2"/>
    <s v="Headphones"/>
    <n v="680"/>
    <n v="1"/>
    <n v="680"/>
    <n v="39"/>
    <s v="Male"/>
    <s v="Ahmedabad"/>
    <s v="Organic Search"/>
    <s v="PayPal"/>
    <n v="0.3"/>
    <s v="No"/>
    <s v="October"/>
  </r>
  <r>
    <n v="1814"/>
    <d v="2023-10-31T00:00:00"/>
    <x v="5"/>
    <s v="Dress"/>
    <n v="50"/>
    <n v="4"/>
    <n v="200"/>
    <n v="50"/>
    <s v="Female"/>
    <s v="Chennai"/>
    <s v="Email Campaign"/>
    <s v="Cash on Delivery"/>
    <n v="0.1"/>
    <s v="Yes"/>
    <s v="October"/>
  </r>
  <r>
    <n v="1815"/>
    <d v="2023-04-02T00:00:00"/>
    <x v="1"/>
    <s v="Curtains"/>
    <n v="290"/>
    <n v="2"/>
    <n v="580"/>
    <n v="25"/>
    <s v="Male"/>
    <s v="Pune"/>
    <s v="Email Campaign"/>
    <s v="PayPal"/>
    <n v="0.2"/>
    <s v="Yes"/>
    <s v="April"/>
  </r>
  <r>
    <n v="1816"/>
    <d v="2023-02-20T00:00:00"/>
    <x v="5"/>
    <s v="Jeans"/>
    <n v="723"/>
    <n v="3"/>
    <n v="2169"/>
    <n v="47"/>
    <s v="Male"/>
    <s v="Lucknow"/>
    <s v="Instagram"/>
    <s v="Cash on Delivery"/>
    <n v="0.1"/>
    <s v="Yes"/>
    <s v="February"/>
  </r>
  <r>
    <n v="1817"/>
    <d v="2023-02-08T00:00:00"/>
    <x v="1"/>
    <s v="Wall Art"/>
    <n v="720"/>
    <n v="1"/>
    <n v="720"/>
    <n v="42"/>
    <s v="Male"/>
    <s v="Kolkata"/>
    <s v="Facebook Ads"/>
    <s v="Credit Card"/>
    <n v="0.05"/>
    <s v="No"/>
    <s v="February"/>
  </r>
  <r>
    <n v="1818"/>
    <d v="2023-10-10T00:00:00"/>
    <x v="1"/>
    <s v="Table Lamp"/>
    <n v="1100"/>
    <n v="2"/>
    <n v="2200"/>
    <n v="48"/>
    <s v="Female"/>
    <s v="Chennai"/>
    <s v="Instagram"/>
    <s v="UPI"/>
    <n v="0.05"/>
    <s v="No"/>
    <s v="October"/>
  </r>
  <r>
    <n v="1819"/>
    <d v="2023-10-04T00:00:00"/>
    <x v="2"/>
    <s v="Smartwatch"/>
    <n v="1054"/>
    <n v="3"/>
    <n v="3162"/>
    <n v="54"/>
    <s v="Female"/>
    <s v="Hyderabad"/>
    <s v="Facebook Ads"/>
    <s v="PayPal"/>
    <n v="0.05"/>
    <s v="Yes"/>
    <s v="October"/>
  </r>
  <r>
    <n v="1820"/>
    <d v="2023-07-19T00:00:00"/>
    <x v="5"/>
    <s v="Winter Jacket"/>
    <n v="1023"/>
    <n v="4"/>
    <n v="4092"/>
    <n v="28"/>
    <s v="Female"/>
    <s v="Jaipur"/>
    <s v="Referral"/>
    <s v="Debit Card"/>
    <n v="0.25"/>
    <s v="No"/>
    <s v="July"/>
  </r>
  <r>
    <n v="1821"/>
    <d v="2023-08-01T00:00:00"/>
    <x v="1"/>
    <s v="Curtains"/>
    <n v="1188"/>
    <n v="3"/>
    <n v="3564"/>
    <n v="18"/>
    <s v="Female"/>
    <s v="Pune"/>
    <s v="Organic Search"/>
    <s v="UPI"/>
    <n v="0.1"/>
    <s v="No"/>
    <s v="August"/>
  </r>
  <r>
    <n v="1822"/>
    <d v="2023-11-27T00:00:00"/>
    <x v="0"/>
    <s v="Dollhouse"/>
    <n v="553"/>
    <n v="2"/>
    <n v="1106"/>
    <n v="20"/>
    <s v="Male"/>
    <s v="Chennai"/>
    <s v="Email Campaign"/>
    <s v="Debit Card"/>
    <n v="0.1"/>
    <s v="Yes"/>
    <s v="November"/>
  </r>
  <r>
    <n v="1823"/>
    <d v="2023-07-07T00:00:00"/>
    <x v="1"/>
    <s v="Carpet"/>
    <n v="1190"/>
    <n v="1"/>
    <n v="1190"/>
    <n v="46"/>
    <s v="Male"/>
    <s v="Jaipur"/>
    <s v="Email Campaign"/>
    <s v="Cash on Delivery"/>
    <n v="0.3"/>
    <s v="Yes"/>
    <s v="July"/>
  </r>
  <r>
    <n v="1824"/>
    <d v="2023-11-10T00:00:00"/>
    <x v="4"/>
    <s v="Basketball"/>
    <n v="1273"/>
    <n v="4"/>
    <n v="5092"/>
    <n v="52"/>
    <s v="Male"/>
    <s v="Hyderabad"/>
    <s v="Organic Search"/>
    <s v="Cash on Delivery"/>
    <n v="0.2"/>
    <s v="No"/>
    <s v="November"/>
  </r>
  <r>
    <n v="1825"/>
    <d v="2024-01-06T00:00:00"/>
    <x v="2"/>
    <s v="Laptop"/>
    <n v="867"/>
    <n v="5"/>
    <n v="4335"/>
    <n v="56"/>
    <s v="Male"/>
    <s v="Hyderabad"/>
    <s v="Facebook Ads"/>
    <s v="Credit Card"/>
    <n v="0.3"/>
    <s v="Yes"/>
    <s v="January"/>
  </r>
  <r>
    <n v="1826"/>
    <d v="2023-12-09T00:00:00"/>
    <x v="2"/>
    <s v="Tablet"/>
    <n v="1244"/>
    <n v="5"/>
    <n v="6220"/>
    <n v="57"/>
    <s v="Male"/>
    <s v="Bangalore"/>
    <s v="Organic Search"/>
    <s v="Cash on Delivery"/>
    <n v="0.1"/>
    <s v="Yes"/>
    <s v="December"/>
  </r>
  <r>
    <n v="1827"/>
    <d v="2023-03-19T00:00:00"/>
    <x v="2"/>
    <s v="Laptop"/>
    <n v="1257"/>
    <n v="1"/>
    <n v="1257"/>
    <n v="35"/>
    <s v="Female"/>
    <s v="Chennai"/>
    <s v="Organic Search"/>
    <s v="Credit Card"/>
    <n v="0.1"/>
    <s v="Yes"/>
    <s v="March"/>
  </r>
  <r>
    <n v="1828"/>
    <d v="2023-06-26T00:00:00"/>
    <x v="6"/>
    <s v="Running Shoes"/>
    <n v="376"/>
    <n v="1"/>
    <n v="376"/>
    <n v="22"/>
    <s v="Male"/>
    <s v="Kolkata"/>
    <s v="Google Ads"/>
    <s v="Debit Card"/>
    <n v="0.05"/>
    <s v="No"/>
    <s v="June"/>
  </r>
  <r>
    <n v="1829"/>
    <d v="2023-06-26T00:00:00"/>
    <x v="3"/>
    <s v="Coffee"/>
    <n v="588"/>
    <n v="1"/>
    <n v="588"/>
    <n v="60"/>
    <s v="Female"/>
    <s v="Mumbai"/>
    <s v="Instagram"/>
    <s v="Credit Card"/>
    <n v="0.2"/>
    <s v="Yes"/>
    <s v="June"/>
  </r>
  <r>
    <n v="1830"/>
    <d v="2024-01-04T00:00:00"/>
    <x v="4"/>
    <s v="Tennis Racket"/>
    <n v="719"/>
    <n v="5"/>
    <n v="3595"/>
    <n v="49"/>
    <s v="Female"/>
    <s v="Ahmedabad"/>
    <s v="Email Campaign"/>
    <s v="UPI"/>
    <n v="0.15"/>
    <s v="Yes"/>
    <s v="January"/>
  </r>
  <r>
    <n v="1831"/>
    <d v="2024-01-20T00:00:00"/>
    <x v="1"/>
    <s v="Wall Art"/>
    <n v="555"/>
    <n v="4"/>
    <n v="2220"/>
    <n v="26"/>
    <s v="Male"/>
    <s v="Kolkata"/>
    <s v="Google Ads"/>
    <s v="PayPal"/>
    <n v="0.15"/>
    <s v="No"/>
    <s v="January"/>
  </r>
  <r>
    <n v="1832"/>
    <d v="2023-06-27T00:00:00"/>
    <x v="3"/>
    <s v="Cereal Pack"/>
    <n v="1447"/>
    <n v="5"/>
    <n v="7235"/>
    <n v="45"/>
    <s v="Male"/>
    <s v="Lucknow"/>
    <s v="Organic Search"/>
    <s v="Cash on Delivery"/>
    <n v="0.3"/>
    <s v="Yes"/>
    <s v="June"/>
  </r>
  <r>
    <n v="1833"/>
    <d v="2023-12-15T00:00:00"/>
    <x v="0"/>
    <s v="Dollhouse"/>
    <n v="239"/>
    <n v="4"/>
    <n v="956"/>
    <n v="46"/>
    <s v="Female"/>
    <s v="Jaipur"/>
    <s v="Instagram"/>
    <s v="Debit Card"/>
    <n v="0.25"/>
    <s v="No"/>
    <s v="December"/>
  </r>
  <r>
    <n v="1834"/>
    <d v="2023-01-06T00:00:00"/>
    <x v="5"/>
    <s v="Dress"/>
    <n v="157"/>
    <n v="2"/>
    <n v="314"/>
    <n v="40"/>
    <s v="Female"/>
    <s v="Jaipur"/>
    <s v="Facebook Ads"/>
    <s v="Cash on Delivery"/>
    <n v="0.15"/>
    <s v="No"/>
    <s v="January"/>
  </r>
  <r>
    <n v="1835"/>
    <d v="2023-11-18T00:00:00"/>
    <x v="4"/>
    <s v="Football"/>
    <n v="745"/>
    <n v="3"/>
    <n v="2235"/>
    <n v="32"/>
    <s v="Female"/>
    <s v="Delhi"/>
    <s v="Organic Search"/>
    <s v="Credit Card"/>
    <n v="0.3"/>
    <s v="Yes"/>
    <s v="November"/>
  </r>
  <r>
    <n v="1836"/>
    <d v="2023-02-22T00:00:00"/>
    <x v="4"/>
    <s v="Skipping Rope"/>
    <n v="795"/>
    <n v="4"/>
    <n v="3180"/>
    <n v="22"/>
    <s v="Male"/>
    <s v="Chennai"/>
    <s v="Email Campaign"/>
    <s v="Cash on Delivery"/>
    <n v="0.05"/>
    <s v="No"/>
    <s v="February"/>
  </r>
  <r>
    <n v="1837"/>
    <d v="2024-02-05T00:00:00"/>
    <x v="5"/>
    <s v="Winter Jacket"/>
    <n v="1265"/>
    <n v="1"/>
    <n v="1265"/>
    <n v="19"/>
    <s v="Male"/>
    <s v="Jaipur"/>
    <s v="Referral"/>
    <s v="Credit Card"/>
    <n v="0.25"/>
    <s v="Yes"/>
    <s v="February"/>
  </r>
  <r>
    <n v="1838"/>
    <d v="2023-03-22T00:00:00"/>
    <x v="4"/>
    <s v="Skipping Rope"/>
    <n v="315"/>
    <n v="2"/>
    <n v="630"/>
    <n v="40"/>
    <s v="Male"/>
    <s v="Jaipur"/>
    <s v="Google Ads"/>
    <s v="Credit Card"/>
    <n v="0.05"/>
    <s v="No"/>
    <s v="March"/>
  </r>
  <r>
    <n v="1839"/>
    <d v="2023-10-31T00:00:00"/>
    <x v="3"/>
    <s v="Coffee"/>
    <n v="355"/>
    <n v="2"/>
    <n v="710"/>
    <n v="48"/>
    <s v="Male"/>
    <s v="Hyderabad"/>
    <s v="Google Ads"/>
    <s v="UPI"/>
    <n v="0.15"/>
    <s v="Yes"/>
    <s v="October"/>
  </r>
  <r>
    <n v="1840"/>
    <d v="2023-06-20T00:00:00"/>
    <x v="3"/>
    <s v="Organic Vegetables"/>
    <n v="127"/>
    <n v="1"/>
    <n v="127"/>
    <n v="50"/>
    <s v="Female"/>
    <s v="Pune"/>
    <s v="Instagram"/>
    <s v="UPI"/>
    <n v="0.15"/>
    <s v="No"/>
    <s v="June"/>
  </r>
  <r>
    <n v="1841"/>
    <d v="2023-05-28T00:00:00"/>
    <x v="0"/>
    <s v="Dollhouse"/>
    <n v="1038"/>
    <n v="4"/>
    <n v="4152"/>
    <n v="30"/>
    <s v="Female"/>
    <s v="Pune"/>
    <s v="Instagram"/>
    <s v="UPI"/>
    <n v="0.2"/>
    <s v="Yes"/>
    <s v="May"/>
  </r>
  <r>
    <n v="1842"/>
    <d v="2023-07-15T00:00:00"/>
    <x v="1"/>
    <s v="Cushions"/>
    <n v="350"/>
    <n v="2"/>
    <n v="700"/>
    <n v="57"/>
    <s v="Female"/>
    <s v="Lucknow"/>
    <s v="Referral"/>
    <s v="Cash on Delivery"/>
    <n v="0.1"/>
    <s v="No"/>
    <s v="July"/>
  </r>
  <r>
    <n v="1843"/>
    <d v="2023-01-20T00:00:00"/>
    <x v="4"/>
    <s v="Skipping Rope"/>
    <n v="962"/>
    <n v="1"/>
    <n v="962"/>
    <n v="58"/>
    <s v="Male"/>
    <s v="Delhi"/>
    <s v="Referral"/>
    <s v="PayPal"/>
    <n v="0.1"/>
    <s v="Yes"/>
    <s v="January"/>
  </r>
  <r>
    <n v="1844"/>
    <d v="2024-01-26T00:00:00"/>
    <x v="1"/>
    <s v="Wall Art"/>
    <n v="905"/>
    <n v="3"/>
    <n v="2715"/>
    <n v="45"/>
    <s v="Male"/>
    <s v="Lucknow"/>
    <s v="Organic Search"/>
    <s v="Credit Card"/>
    <n v="0.2"/>
    <s v="Yes"/>
    <s v="January"/>
  </r>
  <r>
    <n v="1845"/>
    <d v="2023-03-13T00:00:00"/>
    <x v="3"/>
    <s v="Organic Vegetables"/>
    <n v="1245"/>
    <n v="1"/>
    <n v="1245"/>
    <n v="46"/>
    <s v="Male"/>
    <s v="Jaipur"/>
    <s v="Organic Search"/>
    <s v="Credit Card"/>
    <n v="0.2"/>
    <s v="Yes"/>
    <s v="March"/>
  </r>
  <r>
    <n v="1846"/>
    <d v="2023-09-20T00:00:00"/>
    <x v="3"/>
    <s v="Bread"/>
    <n v="263"/>
    <n v="3"/>
    <n v="789"/>
    <n v="38"/>
    <s v="Female"/>
    <s v="Delhi"/>
    <s v="Referral"/>
    <s v="PayPal"/>
    <n v="0.2"/>
    <s v="Yes"/>
    <s v="September"/>
  </r>
  <r>
    <n v="1847"/>
    <d v="2023-07-27T00:00:00"/>
    <x v="2"/>
    <s v="Tablet"/>
    <n v="878"/>
    <n v="5"/>
    <n v="4390"/>
    <n v="46"/>
    <s v="Male"/>
    <s v="Lucknow"/>
    <s v="Referral"/>
    <s v="Credit Card"/>
    <n v="0.15"/>
    <s v="No"/>
    <s v="July"/>
  </r>
  <r>
    <n v="1848"/>
    <d v="2023-03-21T00:00:00"/>
    <x v="2"/>
    <s v="Smartphone"/>
    <n v="301"/>
    <n v="1"/>
    <n v="301"/>
    <n v="41"/>
    <s v="Male"/>
    <s v="Delhi"/>
    <s v="Referral"/>
    <s v="UPI"/>
    <n v="0.25"/>
    <s v="No"/>
    <s v="March"/>
  </r>
  <r>
    <n v="1849"/>
    <d v="2023-04-17T00:00:00"/>
    <x v="3"/>
    <s v="Coffee"/>
    <n v="1478"/>
    <n v="4"/>
    <n v="5912"/>
    <n v="52"/>
    <s v="Male"/>
    <s v="Delhi"/>
    <s v="Email Campaign"/>
    <s v="PayPal"/>
    <n v="0.1"/>
    <s v="No"/>
    <s v="April"/>
  </r>
  <r>
    <n v="1850"/>
    <d v="2023-05-28T00:00:00"/>
    <x v="0"/>
    <s v="Puzzle"/>
    <n v="155"/>
    <n v="4"/>
    <n v="620"/>
    <n v="35"/>
    <s v="Male"/>
    <s v="Lucknow"/>
    <s v="Facebook Ads"/>
    <s v="PayPal"/>
    <n v="0.25"/>
    <s v="Yes"/>
    <s v="May"/>
  </r>
  <r>
    <n v="1851"/>
    <d v="2023-03-13T00:00:00"/>
    <x v="3"/>
    <s v="Coffee"/>
    <n v="645"/>
    <n v="4"/>
    <n v="2580"/>
    <n v="37"/>
    <s v="Male"/>
    <s v="Lucknow"/>
    <s v="Facebook Ads"/>
    <s v="Debit Card"/>
    <n v="0.25"/>
    <s v="No"/>
    <s v="March"/>
  </r>
  <r>
    <n v="1852"/>
    <d v="2023-02-24T00:00:00"/>
    <x v="3"/>
    <s v="Milk"/>
    <n v="310"/>
    <n v="5"/>
    <n v="1550"/>
    <n v="46"/>
    <s v="Female"/>
    <s v="Jaipur"/>
    <s v="Facebook Ads"/>
    <s v="Debit Card"/>
    <n v="0.25"/>
    <s v="Yes"/>
    <s v="February"/>
  </r>
  <r>
    <n v="1853"/>
    <d v="2023-10-03T00:00:00"/>
    <x v="2"/>
    <s v="Tablet"/>
    <n v="175"/>
    <n v="3"/>
    <n v="525"/>
    <n v="52"/>
    <s v="Male"/>
    <s v="Chennai"/>
    <s v="Organic Search"/>
    <s v="Cash on Delivery"/>
    <n v="0.1"/>
    <s v="Yes"/>
    <s v="October"/>
  </r>
  <r>
    <n v="1854"/>
    <d v="2023-06-27T00:00:00"/>
    <x v="4"/>
    <s v="Yoga Mat"/>
    <n v="46"/>
    <n v="3"/>
    <n v="138"/>
    <n v="60"/>
    <s v="Male"/>
    <s v="Jaipur"/>
    <s v="Email Campaign"/>
    <s v="PayPal"/>
    <n v="0.05"/>
    <s v="Yes"/>
    <s v="June"/>
  </r>
  <r>
    <n v="1855"/>
    <d v="2023-02-24T00:00:00"/>
    <x v="0"/>
    <s v="Puzzle"/>
    <n v="367"/>
    <n v="3"/>
    <n v="1101"/>
    <n v="21"/>
    <s v="Male"/>
    <s v="Jaipur"/>
    <s v="Referral"/>
    <s v="Credit Card"/>
    <n v="0.2"/>
    <s v="No"/>
    <s v="February"/>
  </r>
  <r>
    <n v="1856"/>
    <d v="2023-11-04T00:00:00"/>
    <x v="2"/>
    <s v="Tablet"/>
    <n v="936"/>
    <n v="2"/>
    <n v="1872"/>
    <n v="21"/>
    <s v="Female"/>
    <s v="Ahmedabad"/>
    <s v="Organic Search"/>
    <s v="PayPal"/>
    <n v="0.25"/>
    <s v="No"/>
    <s v="November"/>
  </r>
  <r>
    <n v="1857"/>
    <d v="2023-11-15T00:00:00"/>
    <x v="2"/>
    <s v="Smartwatch"/>
    <n v="1250"/>
    <n v="4"/>
    <n v="5000"/>
    <n v="39"/>
    <s v="Female"/>
    <s v="Mumbai"/>
    <s v="Organic Search"/>
    <s v="Cash on Delivery"/>
    <n v="0.15"/>
    <s v="No"/>
    <s v="November"/>
  </r>
  <r>
    <n v="1858"/>
    <d v="2023-03-27T00:00:00"/>
    <x v="3"/>
    <s v="Coffee"/>
    <n v="1378"/>
    <n v="3"/>
    <n v="4134"/>
    <n v="36"/>
    <s v="Female"/>
    <s v="Jaipur"/>
    <s v="Email Campaign"/>
    <s v="UPI"/>
    <n v="0.2"/>
    <s v="Yes"/>
    <s v="March"/>
  </r>
  <r>
    <n v="1859"/>
    <d v="2023-05-24T00:00:00"/>
    <x v="6"/>
    <s v="Sneakers"/>
    <n v="712"/>
    <n v="4"/>
    <n v="2848"/>
    <n v="21"/>
    <s v="Male"/>
    <s v="Ahmedabad"/>
    <s v="Organic Search"/>
    <s v="UPI"/>
    <n v="0.1"/>
    <s v="Yes"/>
    <s v="May"/>
  </r>
  <r>
    <n v="1860"/>
    <d v="2023-06-20T00:00:00"/>
    <x v="5"/>
    <s v="Dress"/>
    <n v="425"/>
    <n v="3"/>
    <n v="1275"/>
    <n v="52"/>
    <s v="Female"/>
    <s v="Jaipur"/>
    <s v="Facebook Ads"/>
    <s v="Cash on Delivery"/>
    <n v="0.1"/>
    <s v="Yes"/>
    <s v="June"/>
  </r>
  <r>
    <n v="1861"/>
    <d v="2023-12-14T00:00:00"/>
    <x v="3"/>
    <s v="Cereal Pack"/>
    <n v="880"/>
    <n v="5"/>
    <n v="4400"/>
    <n v="53"/>
    <s v="Female"/>
    <s v="Pune"/>
    <s v="Referral"/>
    <s v="Cash on Delivery"/>
    <n v="0.3"/>
    <s v="Yes"/>
    <s v="December"/>
  </r>
  <r>
    <n v="1862"/>
    <d v="2023-05-14T00:00:00"/>
    <x v="6"/>
    <s v="Sandals"/>
    <n v="212"/>
    <n v="4"/>
    <n v="848"/>
    <n v="35"/>
    <s v="Male"/>
    <s v="Jaipur"/>
    <s v="Organic Search"/>
    <s v="Debit Card"/>
    <n v="0.15"/>
    <s v="Yes"/>
    <s v="May"/>
  </r>
  <r>
    <n v="1863"/>
    <d v="2023-01-17T00:00:00"/>
    <x v="0"/>
    <s v="Puzzle"/>
    <n v="1160"/>
    <n v="4"/>
    <n v="4640"/>
    <n v="53"/>
    <s v="Female"/>
    <s v="Delhi"/>
    <s v="Organic Search"/>
    <s v="Cash on Delivery"/>
    <n v="0.2"/>
    <s v="Yes"/>
    <s v="January"/>
  </r>
  <r>
    <n v="1864"/>
    <d v="2023-07-18T00:00:00"/>
    <x v="3"/>
    <s v="Bread"/>
    <n v="1048"/>
    <n v="5"/>
    <n v="5240"/>
    <n v="20"/>
    <s v="Female"/>
    <s v="Ahmedabad"/>
    <s v="Facebook Ads"/>
    <s v="Cash on Delivery"/>
    <n v="0.25"/>
    <s v="Yes"/>
    <s v="July"/>
  </r>
  <r>
    <n v="1865"/>
    <d v="2023-11-25T00:00:00"/>
    <x v="6"/>
    <s v="Formal Shoes"/>
    <n v="30"/>
    <n v="3"/>
    <n v="90"/>
    <n v="18"/>
    <s v="Male"/>
    <s v="Pune"/>
    <s v="Google Ads"/>
    <s v="Cash on Delivery"/>
    <n v="0.1"/>
    <s v="No"/>
    <s v="November"/>
  </r>
  <r>
    <n v="1866"/>
    <d v="2023-07-11T00:00:00"/>
    <x v="2"/>
    <s v="Tablet"/>
    <n v="1202"/>
    <n v="1"/>
    <n v="1202"/>
    <n v="26"/>
    <s v="Male"/>
    <s v="Jaipur"/>
    <s v="Referral"/>
    <s v="Credit Card"/>
    <n v="0.25"/>
    <s v="No"/>
    <s v="July"/>
  </r>
  <r>
    <n v="1867"/>
    <d v="2023-05-12T00:00:00"/>
    <x v="0"/>
    <s v="Puzzle"/>
    <n v="120"/>
    <n v="2"/>
    <n v="240"/>
    <n v="37"/>
    <s v="Male"/>
    <s v="Ahmedabad"/>
    <s v="Google Ads"/>
    <s v="Debit Card"/>
    <n v="0.2"/>
    <s v="Yes"/>
    <s v="May"/>
  </r>
  <r>
    <n v="1868"/>
    <d v="2023-09-13T00:00:00"/>
    <x v="3"/>
    <s v="Cereal Pack"/>
    <n v="1285"/>
    <n v="2"/>
    <n v="2570"/>
    <n v="43"/>
    <s v="Female"/>
    <s v="Bangalore"/>
    <s v="Referral"/>
    <s v="Debit Card"/>
    <n v="0.3"/>
    <s v="No"/>
    <s v="September"/>
  </r>
  <r>
    <n v="1869"/>
    <d v="2023-07-24T00:00:00"/>
    <x v="5"/>
    <s v="T-shirt"/>
    <n v="1126"/>
    <n v="4"/>
    <n v="4504"/>
    <n v="19"/>
    <s v="Female"/>
    <s v="Delhi"/>
    <s v="Organic Search"/>
    <s v="PayPal"/>
    <n v="0.3"/>
    <s v="Yes"/>
    <s v="July"/>
  </r>
  <r>
    <n v="1870"/>
    <d v="2023-05-16T00:00:00"/>
    <x v="4"/>
    <s v="Basketball"/>
    <n v="185"/>
    <n v="5"/>
    <n v="925"/>
    <n v="35"/>
    <s v="Male"/>
    <s v="Jaipur"/>
    <s v="Referral"/>
    <s v="Cash on Delivery"/>
    <n v="0.15"/>
    <s v="Yes"/>
    <s v="May"/>
  </r>
  <r>
    <n v="1871"/>
    <d v="2024-01-12T00:00:00"/>
    <x v="4"/>
    <s v="Basketball"/>
    <n v="185"/>
    <n v="2"/>
    <n v="370"/>
    <n v="48"/>
    <s v="Female"/>
    <s v="Mumbai"/>
    <s v="Google Ads"/>
    <s v="UPI"/>
    <n v="0.1"/>
    <s v="No"/>
    <s v="January"/>
  </r>
  <r>
    <n v="1872"/>
    <d v="2024-01-15T00:00:00"/>
    <x v="0"/>
    <s v="Remote Car"/>
    <n v="841"/>
    <n v="4"/>
    <n v="3364"/>
    <n v="27"/>
    <s v="Male"/>
    <s v="Chennai"/>
    <s v="Facebook Ads"/>
    <s v="PayPal"/>
    <n v="0.25"/>
    <s v="Yes"/>
    <s v="January"/>
  </r>
  <r>
    <n v="1873"/>
    <d v="2023-06-26T00:00:00"/>
    <x v="6"/>
    <s v="Running Shoes"/>
    <n v="567"/>
    <n v="3"/>
    <n v="1701"/>
    <n v="36"/>
    <s v="Female"/>
    <s v="Ahmedabad"/>
    <s v="Facebook Ads"/>
    <s v="Cash on Delivery"/>
    <n v="0.1"/>
    <s v="No"/>
    <s v="June"/>
  </r>
  <r>
    <n v="1874"/>
    <d v="2023-08-18T00:00:00"/>
    <x v="3"/>
    <s v="Cereal Pack"/>
    <n v="144"/>
    <n v="3"/>
    <n v="432"/>
    <n v="19"/>
    <s v="Female"/>
    <s v="Bangalore"/>
    <s v="Referral"/>
    <s v="UPI"/>
    <n v="0.3"/>
    <s v="No"/>
    <s v="August"/>
  </r>
  <r>
    <n v="1875"/>
    <d v="2023-03-12T00:00:00"/>
    <x v="2"/>
    <s v="Smartwatch"/>
    <n v="92"/>
    <n v="1"/>
    <n v="92"/>
    <n v="25"/>
    <s v="Male"/>
    <s v="Kolkata"/>
    <s v="Referral"/>
    <s v="Cash on Delivery"/>
    <n v="0.2"/>
    <s v="Yes"/>
    <s v="March"/>
  </r>
  <r>
    <n v="1876"/>
    <d v="2023-01-30T00:00:00"/>
    <x v="5"/>
    <s v="Jeans"/>
    <n v="127"/>
    <n v="2"/>
    <n v="254"/>
    <n v="48"/>
    <s v="Male"/>
    <s v="Pune"/>
    <s v="Facebook Ads"/>
    <s v="Debit Card"/>
    <n v="0.3"/>
    <s v="Yes"/>
    <s v="January"/>
  </r>
  <r>
    <n v="1877"/>
    <d v="2023-07-31T00:00:00"/>
    <x v="2"/>
    <s v="Laptop"/>
    <n v="1263"/>
    <n v="5"/>
    <n v="6315"/>
    <n v="52"/>
    <s v="Female"/>
    <s v="Hyderabad"/>
    <s v="Email Campaign"/>
    <s v="Debit Card"/>
    <n v="0.15"/>
    <s v="Yes"/>
    <s v="July"/>
  </r>
  <r>
    <n v="1878"/>
    <d v="2023-11-06T00:00:00"/>
    <x v="0"/>
    <s v="Dollhouse"/>
    <n v="272"/>
    <n v="2"/>
    <n v="544"/>
    <n v="23"/>
    <s v="Female"/>
    <s v="Hyderabad"/>
    <s v="Organic Search"/>
    <s v="Cash on Delivery"/>
    <n v="0.1"/>
    <s v="No"/>
    <s v="November"/>
  </r>
  <r>
    <n v="1879"/>
    <d v="2023-05-02T00:00:00"/>
    <x v="4"/>
    <s v="Basketball"/>
    <n v="548"/>
    <n v="5"/>
    <n v="2740"/>
    <n v="46"/>
    <s v="Female"/>
    <s v="Jaipur"/>
    <s v="Organic Search"/>
    <s v="Credit Card"/>
    <n v="0.15"/>
    <s v="No"/>
    <s v="May"/>
  </r>
  <r>
    <n v="1880"/>
    <d v="2023-10-03T00:00:00"/>
    <x v="1"/>
    <s v="Wall Art"/>
    <n v="493"/>
    <n v="3"/>
    <n v="1479"/>
    <n v="28"/>
    <s v="Female"/>
    <s v="Pune"/>
    <s v="Email Campaign"/>
    <s v="Credit Card"/>
    <n v="0.25"/>
    <s v="No"/>
    <s v="October"/>
  </r>
  <r>
    <n v="1881"/>
    <d v="2023-08-16T00:00:00"/>
    <x v="2"/>
    <s v="Smartwatch"/>
    <n v="1202"/>
    <n v="1"/>
    <n v="1202"/>
    <n v="48"/>
    <s v="Female"/>
    <s v="Hyderabad"/>
    <s v="Google Ads"/>
    <s v="Debit Card"/>
    <n v="0.15"/>
    <s v="No"/>
    <s v="August"/>
  </r>
  <r>
    <n v="1882"/>
    <d v="2023-09-13T00:00:00"/>
    <x v="4"/>
    <s v="Basketball"/>
    <n v="367"/>
    <n v="4"/>
    <n v="1468"/>
    <n v="46"/>
    <s v="Female"/>
    <s v="Lucknow"/>
    <s v="Organic Search"/>
    <s v="Debit Card"/>
    <n v="0.25"/>
    <s v="Yes"/>
    <s v="September"/>
  </r>
  <r>
    <n v="1883"/>
    <d v="2023-09-10T00:00:00"/>
    <x v="4"/>
    <s v="Basketball"/>
    <n v="422"/>
    <n v="2"/>
    <n v="844"/>
    <n v="55"/>
    <s v="Male"/>
    <s v="Delhi"/>
    <s v="Referral"/>
    <s v="UPI"/>
    <n v="0.15"/>
    <s v="Yes"/>
    <s v="September"/>
  </r>
  <r>
    <n v="1884"/>
    <d v="2023-10-27T00:00:00"/>
    <x v="3"/>
    <s v="Coffee"/>
    <n v="1050"/>
    <n v="3"/>
    <n v="3150"/>
    <n v="53"/>
    <s v="Male"/>
    <s v="Kolkata"/>
    <s v="Email Campaign"/>
    <s v="Credit Card"/>
    <n v="0.25"/>
    <s v="No"/>
    <s v="October"/>
  </r>
  <r>
    <n v="1885"/>
    <d v="2023-08-05T00:00:00"/>
    <x v="3"/>
    <s v="Organic Vegetables"/>
    <n v="1344"/>
    <n v="3"/>
    <n v="4032"/>
    <n v="56"/>
    <s v="Male"/>
    <s v="Chennai"/>
    <s v="Organic Search"/>
    <s v="Credit Card"/>
    <n v="0.25"/>
    <s v="Yes"/>
    <s v="August"/>
  </r>
  <r>
    <n v="1886"/>
    <d v="2023-04-17T00:00:00"/>
    <x v="2"/>
    <s v="Laptop"/>
    <n v="1496"/>
    <n v="5"/>
    <n v="7480"/>
    <n v="46"/>
    <s v="Male"/>
    <s v="Kolkata"/>
    <s v="Organic Search"/>
    <s v="Debit Card"/>
    <n v="0.15"/>
    <s v="No"/>
    <s v="April"/>
  </r>
  <r>
    <n v="1887"/>
    <d v="2023-05-21T00:00:00"/>
    <x v="0"/>
    <s v="Puzzle"/>
    <n v="1409"/>
    <n v="4"/>
    <n v="5636"/>
    <n v="34"/>
    <s v="Male"/>
    <s v="Chennai"/>
    <s v="Referral"/>
    <s v="UPI"/>
    <n v="0.15"/>
    <s v="Yes"/>
    <s v="May"/>
  </r>
  <r>
    <n v="1888"/>
    <d v="2023-03-18T00:00:00"/>
    <x v="5"/>
    <s v="Sweater"/>
    <n v="304"/>
    <n v="1"/>
    <n v="304"/>
    <n v="35"/>
    <s v="Male"/>
    <s v="Lucknow"/>
    <s v="Organic Search"/>
    <s v="Cash on Delivery"/>
    <n v="0.15"/>
    <s v="Yes"/>
    <s v="March"/>
  </r>
  <r>
    <n v="1889"/>
    <d v="2023-12-04T00:00:00"/>
    <x v="0"/>
    <s v="Lego Set"/>
    <n v="896"/>
    <n v="2"/>
    <n v="1792"/>
    <n v="50"/>
    <s v="Female"/>
    <s v="Pune"/>
    <s v="Email Campaign"/>
    <s v="Debit Card"/>
    <n v="0.05"/>
    <s v="Yes"/>
    <s v="December"/>
  </r>
  <r>
    <n v="1890"/>
    <d v="2023-07-05T00:00:00"/>
    <x v="4"/>
    <s v="Basketball"/>
    <n v="886"/>
    <n v="3"/>
    <n v="2658"/>
    <n v="24"/>
    <s v="Female"/>
    <s v="Hyderabad"/>
    <s v="Instagram"/>
    <s v="Debit Card"/>
    <n v="0.25"/>
    <s v="Yes"/>
    <s v="July"/>
  </r>
  <r>
    <n v="1891"/>
    <d v="2023-07-24T00:00:00"/>
    <x v="0"/>
    <s v="Lego Set"/>
    <n v="245"/>
    <n v="2"/>
    <n v="490"/>
    <n v="28"/>
    <s v="Male"/>
    <s v="Mumbai"/>
    <s v="Facebook Ads"/>
    <s v="Credit Card"/>
    <n v="0.15"/>
    <s v="No"/>
    <s v="July"/>
  </r>
  <r>
    <n v="1892"/>
    <d v="2023-10-26T00:00:00"/>
    <x v="1"/>
    <s v="Wall Art"/>
    <n v="722"/>
    <n v="2"/>
    <n v="1444"/>
    <n v="38"/>
    <s v="Female"/>
    <s v="Chennai"/>
    <s v="Google Ads"/>
    <s v="Credit Card"/>
    <n v="0.15"/>
    <s v="Yes"/>
    <s v="October"/>
  </r>
  <r>
    <n v="1893"/>
    <d v="2023-12-21T00:00:00"/>
    <x v="0"/>
    <s v="Remote Car"/>
    <n v="752"/>
    <n v="1"/>
    <n v="752"/>
    <n v="47"/>
    <s v="Male"/>
    <s v="Hyderabad"/>
    <s v="Instagram"/>
    <s v="Debit Card"/>
    <n v="0.1"/>
    <s v="Yes"/>
    <s v="December"/>
  </r>
  <r>
    <n v="1894"/>
    <d v="2024-02-05T00:00:00"/>
    <x v="1"/>
    <s v="Wall Art"/>
    <n v="1350"/>
    <n v="5"/>
    <n v="6750"/>
    <n v="54"/>
    <s v="Female"/>
    <s v="Delhi"/>
    <s v="Facebook Ads"/>
    <s v="Credit Card"/>
    <n v="0.15"/>
    <s v="Yes"/>
    <s v="February"/>
  </r>
  <r>
    <n v="1895"/>
    <d v="2023-09-12T00:00:00"/>
    <x v="4"/>
    <s v="Skipping Rope"/>
    <n v="420"/>
    <n v="2"/>
    <n v="840"/>
    <n v="34"/>
    <s v="Female"/>
    <s v="Hyderabad"/>
    <s v="Referral"/>
    <s v="Credit Card"/>
    <n v="0.15"/>
    <s v="No"/>
    <s v="September"/>
  </r>
  <r>
    <n v="1896"/>
    <d v="2023-10-02T00:00:00"/>
    <x v="1"/>
    <s v="Cushions"/>
    <n v="762"/>
    <n v="1"/>
    <n v="762"/>
    <n v="57"/>
    <s v="Male"/>
    <s v="Kolkata"/>
    <s v="Instagram"/>
    <s v="PayPal"/>
    <n v="0.2"/>
    <s v="Yes"/>
    <s v="October"/>
  </r>
  <r>
    <n v="1897"/>
    <d v="2023-05-08T00:00:00"/>
    <x v="4"/>
    <s v="Basketball"/>
    <n v="716"/>
    <n v="3"/>
    <n v="2148"/>
    <n v="50"/>
    <s v="Male"/>
    <s v="Hyderabad"/>
    <s v="Google Ads"/>
    <s v="UPI"/>
    <n v="0.25"/>
    <s v="Yes"/>
    <s v="May"/>
  </r>
  <r>
    <n v="1898"/>
    <d v="2023-10-31T00:00:00"/>
    <x v="2"/>
    <s v="Headphones"/>
    <n v="1143"/>
    <n v="3"/>
    <n v="3429"/>
    <n v="49"/>
    <s v="Female"/>
    <s v="Delhi"/>
    <s v="Email Campaign"/>
    <s v="Cash on Delivery"/>
    <n v="0.2"/>
    <s v="Yes"/>
    <s v="October"/>
  </r>
  <r>
    <n v="1899"/>
    <d v="2023-02-15T00:00:00"/>
    <x v="6"/>
    <s v="Running Shoes"/>
    <n v="1115"/>
    <n v="4"/>
    <n v="4460"/>
    <n v="34"/>
    <s v="Female"/>
    <s v="Delhi"/>
    <s v="Instagram"/>
    <s v="Debit Card"/>
    <n v="0.1"/>
    <s v="Yes"/>
    <s v="February"/>
  </r>
  <r>
    <n v="1900"/>
    <d v="2023-11-23T00:00:00"/>
    <x v="4"/>
    <s v="Football"/>
    <n v="820"/>
    <n v="4"/>
    <n v="3280"/>
    <n v="20"/>
    <s v="Male"/>
    <s v="Bangalore"/>
    <s v="Google Ads"/>
    <s v="PayPal"/>
    <n v="0.1"/>
    <s v="No"/>
    <s v="November"/>
  </r>
  <r>
    <n v="1901"/>
    <d v="2023-06-18T00:00:00"/>
    <x v="6"/>
    <s v="Sandals"/>
    <n v="152"/>
    <n v="1"/>
    <n v="152"/>
    <n v="54"/>
    <s v="Female"/>
    <s v="Mumbai"/>
    <s v="Instagram"/>
    <s v="Cash on Delivery"/>
    <n v="0.25"/>
    <s v="Yes"/>
    <s v="June"/>
  </r>
  <r>
    <n v="1902"/>
    <d v="2023-05-18T00:00:00"/>
    <x v="6"/>
    <s v="Running Shoes"/>
    <n v="139"/>
    <n v="3"/>
    <n v="417"/>
    <n v="38"/>
    <s v="Female"/>
    <s v="Jaipur"/>
    <s v="Instagram"/>
    <s v="UPI"/>
    <n v="0.2"/>
    <s v="Yes"/>
    <s v="May"/>
  </r>
  <r>
    <n v="1903"/>
    <d v="2023-09-15T00:00:00"/>
    <x v="6"/>
    <s v="Formal Shoes"/>
    <n v="32"/>
    <n v="1"/>
    <n v="32"/>
    <n v="51"/>
    <s v="Female"/>
    <s v="Ahmedabad"/>
    <s v="Facebook Ads"/>
    <s v="PayPal"/>
    <n v="0.25"/>
    <s v="Yes"/>
    <s v="September"/>
  </r>
  <r>
    <n v="1904"/>
    <d v="2023-05-23T00:00:00"/>
    <x v="3"/>
    <s v="Milk"/>
    <n v="820"/>
    <n v="1"/>
    <n v="820"/>
    <n v="31"/>
    <s v="Female"/>
    <s v="Bangalore"/>
    <s v="Google Ads"/>
    <s v="Credit Card"/>
    <n v="0.05"/>
    <s v="Yes"/>
    <s v="May"/>
  </r>
  <r>
    <n v="1905"/>
    <d v="2023-01-06T00:00:00"/>
    <x v="2"/>
    <s v="Smartphone"/>
    <n v="639"/>
    <n v="1"/>
    <n v="639"/>
    <n v="31"/>
    <s v="Female"/>
    <s v="Kolkata"/>
    <s v="Google Ads"/>
    <s v="Cash on Delivery"/>
    <n v="0.3"/>
    <s v="No"/>
    <s v="January"/>
  </r>
  <r>
    <n v="1906"/>
    <d v="2023-06-18T00:00:00"/>
    <x v="0"/>
    <s v="Lego Set"/>
    <n v="240"/>
    <n v="2"/>
    <n v="480"/>
    <n v="26"/>
    <s v="Female"/>
    <s v="Pune"/>
    <s v="Organic Search"/>
    <s v="Credit Card"/>
    <n v="0.2"/>
    <s v="No"/>
    <s v="June"/>
  </r>
  <r>
    <n v="1907"/>
    <d v="2024-01-22T00:00:00"/>
    <x v="6"/>
    <s v="Sandals"/>
    <n v="1026"/>
    <n v="1"/>
    <n v="1026"/>
    <n v="18"/>
    <s v="Male"/>
    <s v="Ahmedabad"/>
    <s v="Email Campaign"/>
    <s v="Credit Card"/>
    <n v="0.2"/>
    <s v="No"/>
    <s v="January"/>
  </r>
  <r>
    <n v="1908"/>
    <d v="2023-02-12T00:00:00"/>
    <x v="5"/>
    <s v="T-shirt"/>
    <n v="1255"/>
    <n v="3"/>
    <n v="3765"/>
    <n v="50"/>
    <s v="Male"/>
    <s v="Bangalore"/>
    <s v="Referral"/>
    <s v="PayPal"/>
    <n v="0.25"/>
    <s v="Yes"/>
    <s v="February"/>
  </r>
  <r>
    <n v="1909"/>
    <d v="2023-08-02T00:00:00"/>
    <x v="5"/>
    <s v="Dress"/>
    <n v="75"/>
    <n v="2"/>
    <n v="150"/>
    <n v="39"/>
    <s v="Male"/>
    <s v="Jaipur"/>
    <s v="Email Campaign"/>
    <s v="Cash on Delivery"/>
    <n v="0.3"/>
    <s v="No"/>
    <s v="August"/>
  </r>
  <r>
    <n v="1910"/>
    <d v="2023-08-20T00:00:00"/>
    <x v="2"/>
    <s v="Tablet"/>
    <n v="1114"/>
    <n v="1"/>
    <n v="1114"/>
    <n v="26"/>
    <s v="Female"/>
    <s v="Kolkata"/>
    <s v="Referral"/>
    <s v="PayPal"/>
    <n v="0.3"/>
    <s v="No"/>
    <s v="August"/>
  </r>
  <r>
    <n v="1911"/>
    <d v="2023-10-22T00:00:00"/>
    <x v="1"/>
    <s v="Wall Art"/>
    <n v="1381"/>
    <n v="3"/>
    <n v="4143"/>
    <n v="31"/>
    <s v="Female"/>
    <s v="Delhi"/>
    <s v="Organic Search"/>
    <s v="Credit Card"/>
    <n v="0.1"/>
    <s v="No"/>
    <s v="October"/>
  </r>
  <r>
    <n v="1912"/>
    <d v="2023-05-23T00:00:00"/>
    <x v="1"/>
    <s v="Wall Art"/>
    <n v="1408"/>
    <n v="1"/>
    <n v="1408"/>
    <n v="38"/>
    <s v="Female"/>
    <s v="Hyderabad"/>
    <s v="Organic Search"/>
    <s v="Cash on Delivery"/>
    <n v="0.05"/>
    <s v="No"/>
    <s v="May"/>
  </r>
  <r>
    <n v="1913"/>
    <d v="2023-07-18T00:00:00"/>
    <x v="4"/>
    <s v="Basketball"/>
    <n v="302"/>
    <n v="5"/>
    <n v="1510"/>
    <n v="43"/>
    <s v="Male"/>
    <s v="Ahmedabad"/>
    <s v="Instagram"/>
    <s v="Debit Card"/>
    <n v="0.15"/>
    <s v="Yes"/>
    <s v="July"/>
  </r>
  <r>
    <n v="1914"/>
    <d v="2023-08-23T00:00:00"/>
    <x v="3"/>
    <s v="Coffee"/>
    <n v="928"/>
    <n v="4"/>
    <n v="3712"/>
    <n v="39"/>
    <s v="Male"/>
    <s v="Ahmedabad"/>
    <s v="Referral"/>
    <s v="Cash on Delivery"/>
    <n v="0.25"/>
    <s v="No"/>
    <s v="August"/>
  </r>
  <r>
    <n v="1915"/>
    <d v="2023-11-02T00:00:00"/>
    <x v="2"/>
    <s v="Laptop"/>
    <n v="763"/>
    <n v="2"/>
    <n v="1526"/>
    <n v="43"/>
    <s v="Male"/>
    <s v="Ahmedabad"/>
    <s v="Facebook Ads"/>
    <s v="PayPal"/>
    <n v="0.2"/>
    <s v="Yes"/>
    <s v="November"/>
  </r>
  <r>
    <n v="1916"/>
    <d v="2023-03-22T00:00:00"/>
    <x v="6"/>
    <s v="Sneakers"/>
    <n v="788"/>
    <n v="4"/>
    <n v="3152"/>
    <n v="26"/>
    <s v="Female"/>
    <s v="Kolkata"/>
    <s v="Referral"/>
    <s v="UPI"/>
    <n v="0.15"/>
    <s v="Yes"/>
    <s v="March"/>
  </r>
  <r>
    <n v="1917"/>
    <d v="2023-05-26T00:00:00"/>
    <x v="5"/>
    <s v="Jeans"/>
    <n v="430"/>
    <n v="1"/>
    <n v="430"/>
    <n v="49"/>
    <s v="Male"/>
    <s v="Pune"/>
    <s v="Facebook Ads"/>
    <s v="Credit Card"/>
    <n v="0.25"/>
    <s v="Yes"/>
    <s v="May"/>
  </r>
  <r>
    <n v="1918"/>
    <d v="2023-05-23T00:00:00"/>
    <x v="4"/>
    <s v="Tennis Racket"/>
    <n v="385"/>
    <n v="4"/>
    <n v="1540"/>
    <n v="32"/>
    <s v="Male"/>
    <s v="Bangalore"/>
    <s v="Referral"/>
    <s v="PayPal"/>
    <n v="0.05"/>
    <s v="No"/>
    <s v="May"/>
  </r>
  <r>
    <n v="1919"/>
    <d v="2023-08-18T00:00:00"/>
    <x v="2"/>
    <s v="Headphones"/>
    <n v="125"/>
    <n v="5"/>
    <n v="625"/>
    <n v="36"/>
    <s v="Female"/>
    <s v="Lucknow"/>
    <s v="Organic Search"/>
    <s v="Debit Card"/>
    <n v="0.15"/>
    <s v="Yes"/>
    <s v="August"/>
  </r>
  <r>
    <n v="1920"/>
    <d v="2023-04-02T00:00:00"/>
    <x v="5"/>
    <s v="Sweater"/>
    <n v="31"/>
    <n v="2"/>
    <n v="62"/>
    <n v="36"/>
    <s v="Male"/>
    <s v="Mumbai"/>
    <s v="Facebook Ads"/>
    <s v="PayPal"/>
    <n v="0.25"/>
    <s v="No"/>
    <s v="April"/>
  </r>
  <r>
    <n v="1921"/>
    <d v="2023-07-27T00:00:00"/>
    <x v="5"/>
    <s v="Dress"/>
    <n v="866"/>
    <n v="2"/>
    <n v="1732"/>
    <n v="20"/>
    <s v="Male"/>
    <s v="Jaipur"/>
    <s v="Organic Search"/>
    <s v="Credit Card"/>
    <n v="0.25"/>
    <s v="Yes"/>
    <s v="July"/>
  </r>
  <r>
    <n v="1922"/>
    <d v="2023-09-23T00:00:00"/>
    <x v="5"/>
    <s v="Jeans"/>
    <n v="185"/>
    <n v="1"/>
    <n v="185"/>
    <n v="39"/>
    <s v="Female"/>
    <s v="Pune"/>
    <s v="Email Campaign"/>
    <s v="UPI"/>
    <n v="0.2"/>
    <s v="Yes"/>
    <s v="September"/>
  </r>
  <r>
    <n v="1923"/>
    <d v="2023-02-10T00:00:00"/>
    <x v="6"/>
    <s v="Boots"/>
    <n v="924"/>
    <n v="2"/>
    <n v="1848"/>
    <n v="27"/>
    <s v="Female"/>
    <s v="Delhi"/>
    <s v="Google Ads"/>
    <s v="Cash on Delivery"/>
    <n v="0.05"/>
    <s v="Yes"/>
    <s v="February"/>
  </r>
  <r>
    <n v="1924"/>
    <d v="2023-08-07T00:00:00"/>
    <x v="2"/>
    <s v="Tablet"/>
    <n v="799"/>
    <n v="5"/>
    <n v="3995"/>
    <n v="57"/>
    <s v="Female"/>
    <s v="Bangalore"/>
    <s v="Instagram"/>
    <s v="Debit Card"/>
    <n v="0.1"/>
    <s v="Yes"/>
    <s v="August"/>
  </r>
  <r>
    <n v="1925"/>
    <d v="2023-02-25T00:00:00"/>
    <x v="6"/>
    <s v="Sandals"/>
    <n v="1486"/>
    <n v="5"/>
    <n v="7430"/>
    <n v="34"/>
    <s v="Female"/>
    <s v="Ahmedabad"/>
    <s v="Email Campaign"/>
    <s v="Debit Card"/>
    <n v="0.05"/>
    <s v="Yes"/>
    <s v="February"/>
  </r>
  <r>
    <n v="1926"/>
    <d v="2023-08-25T00:00:00"/>
    <x v="3"/>
    <s v="Coffee"/>
    <n v="1208"/>
    <n v="4"/>
    <n v="4832"/>
    <n v="33"/>
    <s v="Female"/>
    <s v="Bangalore"/>
    <s v="Referral"/>
    <s v="Debit Card"/>
    <n v="0.2"/>
    <s v="Yes"/>
    <s v="August"/>
  </r>
  <r>
    <n v="1927"/>
    <d v="2024-01-18T00:00:00"/>
    <x v="1"/>
    <s v="Carpet"/>
    <n v="60"/>
    <n v="2"/>
    <n v="120"/>
    <n v="36"/>
    <s v="Male"/>
    <s v="Jaipur"/>
    <s v="Facebook Ads"/>
    <s v="Credit Card"/>
    <n v="0.2"/>
    <s v="Yes"/>
    <s v="January"/>
  </r>
  <r>
    <n v="1928"/>
    <d v="2023-06-20T00:00:00"/>
    <x v="5"/>
    <s v="Sweater"/>
    <n v="1291"/>
    <n v="1"/>
    <n v="1291"/>
    <n v="46"/>
    <s v="Female"/>
    <s v="Hyderabad"/>
    <s v="Referral"/>
    <s v="PayPal"/>
    <n v="0.25"/>
    <s v="Yes"/>
    <s v="June"/>
  </r>
  <r>
    <n v="1929"/>
    <d v="2023-09-20T00:00:00"/>
    <x v="0"/>
    <s v="Dollhouse"/>
    <n v="1121"/>
    <n v="1"/>
    <n v="1121"/>
    <n v="30"/>
    <s v="Female"/>
    <s v="Bangalore"/>
    <s v="Instagram"/>
    <s v="Cash on Delivery"/>
    <n v="0.25"/>
    <s v="No"/>
    <s v="September"/>
  </r>
  <r>
    <n v="1930"/>
    <d v="2023-05-15T00:00:00"/>
    <x v="5"/>
    <s v="Sweater"/>
    <n v="1135"/>
    <n v="2"/>
    <n v="2270"/>
    <n v="60"/>
    <s v="Female"/>
    <s v="Kolkata"/>
    <s v="Instagram"/>
    <s v="Cash on Delivery"/>
    <n v="0.25"/>
    <s v="Yes"/>
    <s v="May"/>
  </r>
  <r>
    <n v="1931"/>
    <d v="2023-04-13T00:00:00"/>
    <x v="6"/>
    <s v="Formal Shoes"/>
    <n v="23"/>
    <n v="3"/>
    <n v="69"/>
    <n v="38"/>
    <s v="Female"/>
    <s v="Kolkata"/>
    <s v="Email Campaign"/>
    <s v="UPI"/>
    <n v="0.1"/>
    <s v="No"/>
    <s v="April"/>
  </r>
  <r>
    <n v="1932"/>
    <d v="2023-09-25T00:00:00"/>
    <x v="5"/>
    <s v="Sweater"/>
    <n v="733"/>
    <n v="4"/>
    <n v="2932"/>
    <n v="50"/>
    <s v="Female"/>
    <s v="Bangalore"/>
    <s v="Referral"/>
    <s v="Debit Card"/>
    <n v="0.3"/>
    <s v="No"/>
    <s v="September"/>
  </r>
  <r>
    <n v="1933"/>
    <d v="2024-01-23T00:00:00"/>
    <x v="2"/>
    <s v="Laptop"/>
    <n v="1212"/>
    <n v="5"/>
    <n v="6060"/>
    <n v="41"/>
    <s v="Female"/>
    <s v="Hyderabad"/>
    <s v="Referral"/>
    <s v="Cash on Delivery"/>
    <n v="0.25"/>
    <s v="Yes"/>
    <s v="January"/>
  </r>
  <r>
    <n v="1934"/>
    <d v="2023-09-22T00:00:00"/>
    <x v="3"/>
    <s v="Bread"/>
    <n v="972"/>
    <n v="3"/>
    <n v="2916"/>
    <n v="21"/>
    <s v="Male"/>
    <s v="Chennai"/>
    <s v="Instagram"/>
    <s v="Debit Card"/>
    <n v="0.3"/>
    <s v="Yes"/>
    <s v="September"/>
  </r>
  <r>
    <n v="1935"/>
    <d v="2023-08-21T00:00:00"/>
    <x v="0"/>
    <s v="Puzzle"/>
    <n v="1169"/>
    <n v="2"/>
    <n v="2338"/>
    <n v="58"/>
    <s v="Male"/>
    <s v="Pune"/>
    <s v="Email Campaign"/>
    <s v="PayPal"/>
    <n v="0.2"/>
    <s v="No"/>
    <s v="August"/>
  </r>
  <r>
    <n v="1936"/>
    <d v="2023-05-10T00:00:00"/>
    <x v="2"/>
    <s v="Laptop"/>
    <n v="241"/>
    <n v="4"/>
    <n v="964"/>
    <n v="21"/>
    <s v="Female"/>
    <s v="Delhi"/>
    <s v="Instagram"/>
    <s v="Cash on Delivery"/>
    <n v="0.15"/>
    <s v="Yes"/>
    <s v="May"/>
  </r>
  <r>
    <n v="1937"/>
    <d v="2023-01-03T00:00:00"/>
    <x v="4"/>
    <s v="Basketball"/>
    <n v="259"/>
    <n v="2"/>
    <n v="518"/>
    <n v="55"/>
    <s v="Female"/>
    <s v="Mumbai"/>
    <s v="Instagram"/>
    <s v="UPI"/>
    <n v="0.25"/>
    <s v="No"/>
    <s v="January"/>
  </r>
  <r>
    <n v="1938"/>
    <d v="2023-08-25T00:00:00"/>
    <x v="0"/>
    <s v="Dollhouse"/>
    <n v="364"/>
    <n v="4"/>
    <n v="1456"/>
    <n v="49"/>
    <s v="Female"/>
    <s v="Delhi"/>
    <s v="Facebook Ads"/>
    <s v="Cash on Delivery"/>
    <n v="0.05"/>
    <s v="Yes"/>
    <s v="August"/>
  </r>
  <r>
    <n v="1939"/>
    <d v="2023-03-16T00:00:00"/>
    <x v="6"/>
    <s v="Boots"/>
    <n v="345"/>
    <n v="4"/>
    <n v="1380"/>
    <n v="26"/>
    <s v="Female"/>
    <s v="Jaipur"/>
    <s v="Referral"/>
    <s v="PayPal"/>
    <n v="0.3"/>
    <s v="Yes"/>
    <s v="March"/>
  </r>
  <r>
    <n v="1940"/>
    <d v="2023-02-01T00:00:00"/>
    <x v="4"/>
    <s v="Tennis Racket"/>
    <n v="554"/>
    <n v="2"/>
    <n v="1108"/>
    <n v="49"/>
    <s v="Female"/>
    <s v="Bangalore"/>
    <s v="Instagram"/>
    <s v="Debit Card"/>
    <n v="0.3"/>
    <s v="No"/>
    <s v="February"/>
  </r>
  <r>
    <n v="1941"/>
    <d v="2023-09-08T00:00:00"/>
    <x v="4"/>
    <s v="Tennis Racket"/>
    <n v="1252"/>
    <n v="1"/>
    <n v="1252"/>
    <n v="50"/>
    <s v="Male"/>
    <s v="Delhi"/>
    <s v="Facebook Ads"/>
    <s v="PayPal"/>
    <n v="0.1"/>
    <s v="No"/>
    <s v="September"/>
  </r>
  <r>
    <n v="1942"/>
    <d v="2023-08-07T00:00:00"/>
    <x v="4"/>
    <s v="Basketball"/>
    <n v="649"/>
    <n v="2"/>
    <n v="1298"/>
    <n v="24"/>
    <s v="Female"/>
    <s v="Bangalore"/>
    <s v="Instagram"/>
    <s v="Cash on Delivery"/>
    <n v="0.25"/>
    <s v="Yes"/>
    <s v="August"/>
  </r>
  <r>
    <n v="1943"/>
    <d v="2023-04-12T00:00:00"/>
    <x v="0"/>
    <s v="Board Game"/>
    <n v="1479"/>
    <n v="5"/>
    <n v="7395"/>
    <n v="39"/>
    <s v="Male"/>
    <s v="Hyderabad"/>
    <s v="Facebook Ads"/>
    <s v="Debit Card"/>
    <n v="0.3"/>
    <s v="No"/>
    <s v="April"/>
  </r>
  <r>
    <n v="1944"/>
    <d v="2024-02-04T00:00:00"/>
    <x v="2"/>
    <s v="Smartwatch"/>
    <n v="796"/>
    <n v="2"/>
    <n v="1592"/>
    <n v="52"/>
    <s v="Male"/>
    <s v="Delhi"/>
    <s v="Instagram"/>
    <s v="Debit Card"/>
    <n v="0.05"/>
    <s v="No"/>
    <s v="February"/>
  </r>
  <r>
    <n v="1945"/>
    <d v="2023-04-19T00:00:00"/>
    <x v="1"/>
    <s v="Cushions"/>
    <n v="453"/>
    <n v="1"/>
    <n v="453"/>
    <n v="54"/>
    <s v="Female"/>
    <s v="Ahmedabad"/>
    <s v="Google Ads"/>
    <s v="PayPal"/>
    <n v="0.3"/>
    <s v="No"/>
    <s v="April"/>
  </r>
  <r>
    <n v="1946"/>
    <d v="2024-01-09T00:00:00"/>
    <x v="0"/>
    <s v="Board Game"/>
    <n v="887"/>
    <n v="5"/>
    <n v="4435"/>
    <n v="42"/>
    <s v="Female"/>
    <s v="Mumbai"/>
    <s v="Facebook Ads"/>
    <s v="Credit Card"/>
    <n v="0.1"/>
    <s v="No"/>
    <s v="January"/>
  </r>
  <r>
    <n v="1947"/>
    <d v="2023-12-31T00:00:00"/>
    <x v="4"/>
    <s v="Skipping Rope"/>
    <n v="309"/>
    <n v="3"/>
    <n v="927"/>
    <n v="39"/>
    <s v="Female"/>
    <s v="Jaipur"/>
    <s v="Facebook Ads"/>
    <s v="Debit Card"/>
    <n v="0.3"/>
    <s v="No"/>
    <s v="December"/>
  </r>
  <r>
    <n v="1948"/>
    <d v="2023-12-30T00:00:00"/>
    <x v="6"/>
    <s v="Boots"/>
    <n v="940"/>
    <n v="3"/>
    <n v="2820"/>
    <n v="24"/>
    <s v="Female"/>
    <s v="Mumbai"/>
    <s v="Referral"/>
    <s v="Cash on Delivery"/>
    <n v="0.25"/>
    <s v="Yes"/>
    <s v="December"/>
  </r>
  <r>
    <n v="1949"/>
    <d v="2023-11-02T00:00:00"/>
    <x v="6"/>
    <s v="Formal Shoes"/>
    <n v="1108"/>
    <n v="1"/>
    <n v="1108"/>
    <n v="19"/>
    <s v="Male"/>
    <s v="Bangalore"/>
    <s v="Organic Search"/>
    <s v="Cash on Delivery"/>
    <n v="0.1"/>
    <s v="Yes"/>
    <s v="November"/>
  </r>
  <r>
    <n v="1950"/>
    <d v="2023-08-25T00:00:00"/>
    <x v="5"/>
    <s v="Sweater"/>
    <n v="989"/>
    <n v="1"/>
    <n v="989"/>
    <n v="45"/>
    <s v="Female"/>
    <s v="Kolkata"/>
    <s v="Organic Search"/>
    <s v="Credit Card"/>
    <n v="0.2"/>
    <s v="No"/>
    <s v="August"/>
  </r>
  <r>
    <n v="1951"/>
    <d v="2023-01-20T00:00:00"/>
    <x v="1"/>
    <s v="Curtains"/>
    <n v="1303"/>
    <n v="5"/>
    <n v="6515"/>
    <n v="32"/>
    <s v="Male"/>
    <s v="Jaipur"/>
    <s v="Instagram"/>
    <s v="Credit Card"/>
    <n v="0.2"/>
    <s v="Yes"/>
    <s v="January"/>
  </r>
  <r>
    <n v="1952"/>
    <d v="2023-06-25T00:00:00"/>
    <x v="6"/>
    <s v="Running Shoes"/>
    <n v="708"/>
    <n v="3"/>
    <n v="2124"/>
    <n v="46"/>
    <s v="Female"/>
    <s v="Pune"/>
    <s v="Google Ads"/>
    <s v="UPI"/>
    <n v="0.05"/>
    <s v="Yes"/>
    <s v="June"/>
  </r>
  <r>
    <n v="1953"/>
    <d v="2023-08-14T00:00:00"/>
    <x v="5"/>
    <s v="Sweater"/>
    <n v="138"/>
    <n v="2"/>
    <n v="276"/>
    <n v="26"/>
    <s v="Female"/>
    <s v="Delhi"/>
    <s v="Google Ads"/>
    <s v="Credit Card"/>
    <n v="0.1"/>
    <s v="Yes"/>
    <s v="August"/>
  </r>
  <r>
    <n v="1954"/>
    <d v="2023-08-03T00:00:00"/>
    <x v="6"/>
    <s v="Sneakers"/>
    <n v="1360"/>
    <n v="5"/>
    <n v="6800"/>
    <n v="20"/>
    <s v="Male"/>
    <s v="Delhi"/>
    <s v="Instagram"/>
    <s v="Credit Card"/>
    <n v="0.3"/>
    <s v="No"/>
    <s v="August"/>
  </r>
  <r>
    <n v="1955"/>
    <d v="2023-09-23T00:00:00"/>
    <x v="5"/>
    <s v="Sweater"/>
    <n v="920"/>
    <n v="4"/>
    <n v="3680"/>
    <n v="28"/>
    <s v="Female"/>
    <s v="Lucknow"/>
    <s v="Google Ads"/>
    <s v="Debit Card"/>
    <n v="0.05"/>
    <s v="No"/>
    <s v="September"/>
  </r>
  <r>
    <n v="1956"/>
    <d v="2023-12-07T00:00:00"/>
    <x v="2"/>
    <s v="Headphones"/>
    <n v="946"/>
    <n v="3"/>
    <n v="2838"/>
    <n v="24"/>
    <s v="Female"/>
    <s v="Hyderabad"/>
    <s v="Referral"/>
    <s v="PayPal"/>
    <n v="0.25"/>
    <s v="No"/>
    <s v="December"/>
  </r>
  <r>
    <n v="1957"/>
    <d v="2023-12-26T00:00:00"/>
    <x v="6"/>
    <s v="Formal Shoes"/>
    <n v="1268"/>
    <n v="2"/>
    <n v="2536"/>
    <n v="60"/>
    <s v="Female"/>
    <s v="Chennai"/>
    <s v="Email Campaign"/>
    <s v="Credit Card"/>
    <n v="0.05"/>
    <s v="No"/>
    <s v="December"/>
  </r>
  <r>
    <n v="1958"/>
    <d v="2023-03-25T00:00:00"/>
    <x v="1"/>
    <s v="Curtains"/>
    <n v="621"/>
    <n v="3"/>
    <n v="1863"/>
    <n v="25"/>
    <s v="Female"/>
    <s v="Pune"/>
    <s v="Organic Search"/>
    <s v="UPI"/>
    <n v="0.15"/>
    <s v="No"/>
    <s v="March"/>
  </r>
  <r>
    <n v="1959"/>
    <d v="2023-05-09T00:00:00"/>
    <x v="4"/>
    <s v="Football"/>
    <n v="730"/>
    <n v="5"/>
    <n v="3650"/>
    <n v="51"/>
    <s v="Female"/>
    <s v="Jaipur"/>
    <s v="Instagram"/>
    <s v="Cash on Delivery"/>
    <n v="0.25"/>
    <s v="Yes"/>
    <s v="May"/>
  </r>
  <r>
    <n v="1960"/>
    <d v="2023-11-05T00:00:00"/>
    <x v="4"/>
    <s v="Yoga Mat"/>
    <n v="576"/>
    <n v="4"/>
    <n v="2304"/>
    <n v="45"/>
    <s v="Female"/>
    <s v="Pune"/>
    <s v="Referral"/>
    <s v="Credit Card"/>
    <n v="0.1"/>
    <s v="Yes"/>
    <s v="November"/>
  </r>
  <r>
    <n v="1961"/>
    <d v="2023-10-05T00:00:00"/>
    <x v="1"/>
    <s v="Curtains"/>
    <n v="420"/>
    <n v="5"/>
    <n v="2100"/>
    <n v="31"/>
    <s v="Male"/>
    <s v="Jaipur"/>
    <s v="Instagram"/>
    <s v="UPI"/>
    <n v="0.2"/>
    <s v="No"/>
    <s v="October"/>
  </r>
  <r>
    <n v="1962"/>
    <d v="2023-05-09T00:00:00"/>
    <x v="2"/>
    <s v="Smartphone"/>
    <n v="644"/>
    <n v="5"/>
    <n v="3220"/>
    <n v="40"/>
    <s v="Female"/>
    <s v="Mumbai"/>
    <s v="Referral"/>
    <s v="PayPal"/>
    <n v="0.25"/>
    <s v="Yes"/>
    <s v="May"/>
  </r>
  <r>
    <n v="1963"/>
    <d v="2023-12-22T00:00:00"/>
    <x v="5"/>
    <s v="T-shirt"/>
    <n v="1254"/>
    <n v="2"/>
    <n v="2508"/>
    <n v="21"/>
    <s v="Female"/>
    <s v="Bangalore"/>
    <s v="Facebook Ads"/>
    <s v="PayPal"/>
    <n v="0.05"/>
    <s v="Yes"/>
    <s v="December"/>
  </r>
  <r>
    <n v="1964"/>
    <d v="2023-07-22T00:00:00"/>
    <x v="4"/>
    <s v="Basketball"/>
    <n v="591"/>
    <n v="3"/>
    <n v="1773"/>
    <n v="32"/>
    <s v="Female"/>
    <s v="Delhi"/>
    <s v="Facebook Ads"/>
    <s v="PayPal"/>
    <n v="0.25"/>
    <s v="No"/>
    <s v="July"/>
  </r>
  <r>
    <n v="1965"/>
    <d v="2023-03-09T00:00:00"/>
    <x v="6"/>
    <s v="Sneakers"/>
    <n v="1244"/>
    <n v="3"/>
    <n v="3732"/>
    <n v="50"/>
    <s v="Male"/>
    <s v="Pune"/>
    <s v="Referral"/>
    <s v="Credit Card"/>
    <n v="0.25"/>
    <s v="No"/>
    <s v="March"/>
  </r>
  <r>
    <n v="1966"/>
    <d v="2023-02-03T00:00:00"/>
    <x v="1"/>
    <s v="Table Lamp"/>
    <n v="1241"/>
    <n v="1"/>
    <n v="1241"/>
    <n v="27"/>
    <s v="Female"/>
    <s v="Ahmedabad"/>
    <s v="Organic Search"/>
    <s v="UPI"/>
    <n v="0.3"/>
    <s v="No"/>
    <s v="February"/>
  </r>
  <r>
    <n v="1967"/>
    <d v="2023-03-05T00:00:00"/>
    <x v="4"/>
    <s v="Yoga Mat"/>
    <n v="74"/>
    <n v="2"/>
    <n v="148"/>
    <n v="39"/>
    <s v="Female"/>
    <s v="Delhi"/>
    <s v="Referral"/>
    <s v="Debit Card"/>
    <n v="0.2"/>
    <s v="Yes"/>
    <s v="March"/>
  </r>
  <r>
    <n v="1968"/>
    <d v="2023-02-04T00:00:00"/>
    <x v="2"/>
    <s v="Smartphone"/>
    <n v="252"/>
    <n v="1"/>
    <n v="252"/>
    <n v="18"/>
    <s v="Female"/>
    <s v="Mumbai"/>
    <s v="Instagram"/>
    <s v="Credit Card"/>
    <n v="0.1"/>
    <s v="No"/>
    <s v="February"/>
  </r>
  <r>
    <n v="1969"/>
    <d v="2023-01-30T00:00:00"/>
    <x v="1"/>
    <s v="Carpet"/>
    <n v="1077"/>
    <n v="3"/>
    <n v="3231"/>
    <n v="36"/>
    <s v="Female"/>
    <s v="Delhi"/>
    <s v="Email Campaign"/>
    <s v="Debit Card"/>
    <n v="0.15"/>
    <s v="No"/>
    <s v="January"/>
  </r>
  <r>
    <n v="1970"/>
    <d v="2023-08-07T00:00:00"/>
    <x v="2"/>
    <s v="Tablet"/>
    <n v="638"/>
    <n v="3"/>
    <n v="1914"/>
    <n v="44"/>
    <s v="Male"/>
    <s v="Pune"/>
    <s v="Organic Search"/>
    <s v="PayPal"/>
    <n v="0.15"/>
    <s v="No"/>
    <s v="August"/>
  </r>
  <r>
    <n v="1971"/>
    <d v="2023-12-09T00:00:00"/>
    <x v="3"/>
    <s v="Bread"/>
    <n v="1284"/>
    <n v="4"/>
    <n v="5136"/>
    <n v="54"/>
    <s v="Female"/>
    <s v="Kolkata"/>
    <s v="Facebook Ads"/>
    <s v="Debit Card"/>
    <n v="0.15"/>
    <s v="Yes"/>
    <s v="December"/>
  </r>
  <r>
    <n v="1972"/>
    <d v="2023-12-03T00:00:00"/>
    <x v="4"/>
    <s v="Tennis Racket"/>
    <n v="1258"/>
    <n v="2"/>
    <n v="2516"/>
    <n v="57"/>
    <s v="Male"/>
    <s v="Chennai"/>
    <s v="Google Ads"/>
    <s v="PayPal"/>
    <n v="0.3"/>
    <s v="Yes"/>
    <s v="December"/>
  </r>
  <r>
    <n v="1973"/>
    <d v="2023-01-11T00:00:00"/>
    <x v="0"/>
    <s v="Dollhouse"/>
    <n v="491"/>
    <n v="4"/>
    <n v="1964"/>
    <n v="48"/>
    <s v="Male"/>
    <s v="Bangalore"/>
    <s v="Referral"/>
    <s v="Cash on Delivery"/>
    <n v="0.2"/>
    <s v="No"/>
    <s v="January"/>
  </r>
  <r>
    <n v="1974"/>
    <d v="2023-05-11T00:00:00"/>
    <x v="5"/>
    <s v="Dress"/>
    <n v="1019"/>
    <n v="1"/>
    <n v="1019"/>
    <n v="19"/>
    <s v="Male"/>
    <s v="Ahmedabad"/>
    <s v="Organic Search"/>
    <s v="Debit Card"/>
    <n v="0.2"/>
    <s v="No"/>
    <s v="May"/>
  </r>
  <r>
    <n v="1975"/>
    <d v="2023-08-09T00:00:00"/>
    <x v="1"/>
    <s v="Wall Art"/>
    <n v="147"/>
    <n v="2"/>
    <n v="294"/>
    <n v="26"/>
    <s v="Female"/>
    <s v="Bangalore"/>
    <s v="Instagram"/>
    <s v="PayPal"/>
    <n v="0.2"/>
    <s v="Yes"/>
    <s v="August"/>
  </r>
  <r>
    <n v="1976"/>
    <d v="2023-04-04T00:00:00"/>
    <x v="5"/>
    <s v="Jeans"/>
    <n v="755"/>
    <n v="4"/>
    <n v="3020"/>
    <n v="21"/>
    <s v="Female"/>
    <s v="Kolkata"/>
    <s v="Referral"/>
    <s v="Cash on Delivery"/>
    <n v="0.25"/>
    <s v="Yes"/>
    <s v="April"/>
  </r>
  <r>
    <n v="1977"/>
    <d v="2023-09-12T00:00:00"/>
    <x v="3"/>
    <s v="Milk"/>
    <n v="1373"/>
    <n v="4"/>
    <n v="5492"/>
    <n v="21"/>
    <s v="Male"/>
    <s v="Delhi"/>
    <s v="Email Campaign"/>
    <s v="Credit Card"/>
    <n v="0.15"/>
    <s v="No"/>
    <s v="September"/>
  </r>
  <r>
    <n v="1978"/>
    <d v="2023-10-24T00:00:00"/>
    <x v="4"/>
    <s v="Yoga Mat"/>
    <n v="854"/>
    <n v="4"/>
    <n v="3416"/>
    <n v="44"/>
    <s v="Female"/>
    <s v="Hyderabad"/>
    <s v="Facebook Ads"/>
    <s v="Credit Card"/>
    <n v="0.2"/>
    <s v="No"/>
    <s v="October"/>
  </r>
  <r>
    <n v="1979"/>
    <d v="2023-04-29T00:00:00"/>
    <x v="3"/>
    <s v="Coffee"/>
    <n v="1071"/>
    <n v="1"/>
    <n v="1071"/>
    <n v="55"/>
    <s v="Female"/>
    <s v="Delhi"/>
    <s v="Instagram"/>
    <s v="Cash on Delivery"/>
    <n v="0.1"/>
    <s v="Yes"/>
    <s v="April"/>
  </r>
  <r>
    <n v="1980"/>
    <d v="2023-06-12T00:00:00"/>
    <x v="4"/>
    <s v="Football"/>
    <n v="741"/>
    <n v="1"/>
    <n v="741"/>
    <n v="39"/>
    <s v="Male"/>
    <s v="Hyderabad"/>
    <s v="Referral"/>
    <s v="Debit Card"/>
    <n v="0.1"/>
    <s v="Yes"/>
    <s v="June"/>
  </r>
  <r>
    <n v="1981"/>
    <d v="2023-01-29T00:00:00"/>
    <x v="3"/>
    <s v="Organic Vegetables"/>
    <n v="1062"/>
    <n v="1"/>
    <n v="1062"/>
    <n v="29"/>
    <s v="Female"/>
    <s v="Kolkata"/>
    <s v="Referral"/>
    <s v="Credit Card"/>
    <n v="0.25"/>
    <s v="Yes"/>
    <s v="January"/>
  </r>
  <r>
    <n v="1982"/>
    <d v="2023-08-14T00:00:00"/>
    <x v="2"/>
    <s v="Smartphone"/>
    <n v="1303"/>
    <n v="4"/>
    <n v="5212"/>
    <n v="53"/>
    <s v="Male"/>
    <s v="Kolkata"/>
    <s v="Instagram"/>
    <s v="Debit Card"/>
    <n v="0.1"/>
    <s v="No"/>
    <s v="August"/>
  </r>
  <r>
    <n v="1983"/>
    <d v="2023-07-22T00:00:00"/>
    <x v="2"/>
    <s v="Headphones"/>
    <n v="798"/>
    <n v="1"/>
    <n v="798"/>
    <n v="36"/>
    <s v="Female"/>
    <s v="Mumbai"/>
    <s v="Facebook Ads"/>
    <s v="Cash on Delivery"/>
    <n v="0.25"/>
    <s v="Yes"/>
    <s v="July"/>
  </r>
  <r>
    <n v="1984"/>
    <d v="2023-05-08T00:00:00"/>
    <x v="3"/>
    <s v="Coffee"/>
    <n v="333"/>
    <n v="1"/>
    <n v="333"/>
    <n v="50"/>
    <s v="Male"/>
    <s v="Bangalore"/>
    <s v="Email Campaign"/>
    <s v="Debit Card"/>
    <n v="0.15"/>
    <s v="No"/>
    <s v="May"/>
  </r>
  <r>
    <n v="1985"/>
    <d v="2023-04-04T00:00:00"/>
    <x v="4"/>
    <s v="Yoga Mat"/>
    <n v="717"/>
    <n v="4"/>
    <n v="2868"/>
    <n v="52"/>
    <s v="Female"/>
    <s v="Pune"/>
    <s v="Facebook Ads"/>
    <s v="Credit Card"/>
    <n v="0.25"/>
    <s v="No"/>
    <s v="April"/>
  </r>
  <r>
    <n v="1986"/>
    <d v="2023-12-05T00:00:00"/>
    <x v="5"/>
    <s v="Dress"/>
    <n v="939"/>
    <n v="2"/>
    <n v="1878"/>
    <n v="49"/>
    <s v="Female"/>
    <s v="Jaipur"/>
    <s v="Instagram"/>
    <s v="Credit Card"/>
    <n v="0.05"/>
    <s v="Yes"/>
    <s v="December"/>
  </r>
  <r>
    <n v="1987"/>
    <d v="2023-08-26T00:00:00"/>
    <x v="2"/>
    <s v="Laptop"/>
    <n v="1166"/>
    <n v="4"/>
    <n v="4664"/>
    <n v="43"/>
    <s v="Female"/>
    <s v="Jaipur"/>
    <s v="Google Ads"/>
    <s v="UPI"/>
    <n v="0.2"/>
    <s v="Yes"/>
    <s v="August"/>
  </r>
  <r>
    <n v="1988"/>
    <d v="2023-07-29T00:00:00"/>
    <x v="3"/>
    <s v="Bread"/>
    <n v="610"/>
    <n v="4"/>
    <n v="2440"/>
    <n v="37"/>
    <s v="Male"/>
    <s v="Lucknow"/>
    <s v="Organic Search"/>
    <s v="UPI"/>
    <n v="0.25"/>
    <s v="Yes"/>
    <s v="July"/>
  </r>
  <r>
    <n v="1989"/>
    <d v="2023-09-09T00:00:00"/>
    <x v="4"/>
    <s v="Tennis Racket"/>
    <n v="1377"/>
    <n v="2"/>
    <n v="2754"/>
    <n v="18"/>
    <s v="Male"/>
    <s v="Delhi"/>
    <s v="Email Campaign"/>
    <s v="Debit Card"/>
    <n v="0.05"/>
    <s v="Yes"/>
    <s v="September"/>
  </r>
  <r>
    <n v="1990"/>
    <d v="2023-02-27T00:00:00"/>
    <x v="0"/>
    <s v="Board Game"/>
    <n v="845"/>
    <n v="5"/>
    <n v="4225"/>
    <n v="57"/>
    <s v="Male"/>
    <s v="Bangalore"/>
    <s v="Email Campaign"/>
    <s v="Credit Card"/>
    <n v="0.3"/>
    <s v="No"/>
    <s v="February"/>
  </r>
  <r>
    <n v="1991"/>
    <d v="2024-01-16T00:00:00"/>
    <x v="0"/>
    <s v="Lego Set"/>
    <n v="847"/>
    <n v="1"/>
    <n v="847"/>
    <n v="22"/>
    <s v="Male"/>
    <s v="Lucknow"/>
    <s v="Google Ads"/>
    <s v="PayPal"/>
    <n v="0.05"/>
    <s v="No"/>
    <s v="January"/>
  </r>
  <r>
    <n v="1992"/>
    <d v="2023-03-20T00:00:00"/>
    <x v="5"/>
    <s v="Sweater"/>
    <n v="1068"/>
    <n v="1"/>
    <n v="1068"/>
    <n v="36"/>
    <s v="Male"/>
    <s v="Kolkata"/>
    <s v="Instagram"/>
    <s v="Cash on Delivery"/>
    <n v="0.05"/>
    <s v="No"/>
    <s v="March"/>
  </r>
  <r>
    <n v="1993"/>
    <d v="2023-06-09T00:00:00"/>
    <x v="6"/>
    <s v="Sandals"/>
    <n v="315"/>
    <n v="4"/>
    <n v="1260"/>
    <n v="29"/>
    <s v="Male"/>
    <s v="Ahmedabad"/>
    <s v="Instagram"/>
    <s v="Cash on Delivery"/>
    <n v="0.3"/>
    <s v="No"/>
    <s v="June"/>
  </r>
  <r>
    <n v="1994"/>
    <d v="2023-03-28T00:00:00"/>
    <x v="4"/>
    <s v="Skipping Rope"/>
    <n v="1264"/>
    <n v="3"/>
    <n v="3792"/>
    <n v="20"/>
    <s v="Female"/>
    <s v="Mumbai"/>
    <s v="Organic Search"/>
    <s v="Debit Card"/>
    <n v="0.25"/>
    <s v="Yes"/>
    <s v="March"/>
  </r>
  <r>
    <n v="1995"/>
    <d v="2023-09-11T00:00:00"/>
    <x v="5"/>
    <s v="Sweater"/>
    <n v="1374"/>
    <n v="5"/>
    <n v="6870"/>
    <n v="52"/>
    <s v="Male"/>
    <s v="Ahmedabad"/>
    <s v="Email Campaign"/>
    <s v="Credit Card"/>
    <n v="0.2"/>
    <s v="Yes"/>
    <s v="September"/>
  </r>
  <r>
    <n v="1996"/>
    <d v="2023-10-27T00:00:00"/>
    <x v="3"/>
    <s v="Bread"/>
    <n v="480"/>
    <n v="5"/>
    <n v="2400"/>
    <n v="60"/>
    <s v="Male"/>
    <s v="Chennai"/>
    <s v="Google Ads"/>
    <s v="PayPal"/>
    <n v="0.2"/>
    <s v="Yes"/>
    <s v="October"/>
  </r>
  <r>
    <n v="1997"/>
    <d v="2023-12-21T00:00:00"/>
    <x v="6"/>
    <s v="Running Shoes"/>
    <n v="207"/>
    <n v="3"/>
    <n v="621"/>
    <n v="38"/>
    <s v="Female"/>
    <s v="Pune"/>
    <s v="Google Ads"/>
    <s v="PayPal"/>
    <n v="0.25"/>
    <s v="No"/>
    <s v="December"/>
  </r>
  <r>
    <n v="1998"/>
    <d v="2023-02-23T00:00:00"/>
    <x v="4"/>
    <s v="Yoga Mat"/>
    <n v="1323"/>
    <n v="3"/>
    <n v="3969"/>
    <n v="23"/>
    <s v="Male"/>
    <s v="Jaipur"/>
    <s v="Referral"/>
    <s v="Debit Card"/>
    <n v="0.05"/>
    <s v="No"/>
    <s v="February"/>
  </r>
  <r>
    <n v="1999"/>
    <d v="2023-01-11T00:00:00"/>
    <x v="3"/>
    <s v="Milk"/>
    <n v="707"/>
    <n v="5"/>
    <n v="3535"/>
    <n v="18"/>
    <s v="Female"/>
    <s v="Bangalore"/>
    <s v="Referral"/>
    <s v="Debit Card"/>
    <n v="0.25"/>
    <s v="No"/>
    <s v="Januar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001"/>
    <d v="2022-10-19T00:00:00"/>
    <x v="0"/>
    <x v="0"/>
    <n v="300"/>
    <n v="1"/>
    <n v="2000"/>
    <n v="25"/>
    <x v="0"/>
    <x v="0"/>
    <x v="0"/>
    <x v="0"/>
    <x v="0"/>
    <x v="0"/>
    <x v="0"/>
    <x v="0"/>
  </r>
  <r>
    <n v="1002"/>
    <d v="2023-09-18T00:00:00"/>
    <x v="1"/>
    <x v="1"/>
    <n v="940"/>
    <n v="4"/>
    <n v="3760"/>
    <n v="20"/>
    <x v="0"/>
    <x v="1"/>
    <x v="1"/>
    <x v="1"/>
    <x v="1"/>
    <x v="1"/>
    <x v="1"/>
    <x v="0"/>
  </r>
  <r>
    <n v="1003"/>
    <d v="2024-01-22T00:00:00"/>
    <x v="2"/>
    <x v="2"/>
    <n v="1327"/>
    <n v="5"/>
    <n v="6635"/>
    <n v="44"/>
    <x v="1"/>
    <x v="1"/>
    <x v="2"/>
    <x v="2"/>
    <x v="2"/>
    <x v="1"/>
    <x v="2"/>
    <x v="1"/>
  </r>
  <r>
    <n v="1004"/>
    <d v="2024-01-05T00:00:00"/>
    <x v="3"/>
    <x v="3"/>
    <n v="834"/>
    <n v="3"/>
    <n v="2502"/>
    <n v="51"/>
    <x v="0"/>
    <x v="1"/>
    <x v="3"/>
    <x v="3"/>
    <x v="3"/>
    <x v="1"/>
    <x v="2"/>
    <x v="2"/>
  </r>
  <r>
    <n v="1005"/>
    <d v="2023-10-08T00:00:00"/>
    <x v="4"/>
    <x v="4"/>
    <n v="962"/>
    <n v="1"/>
    <n v="962"/>
    <n v="36"/>
    <x v="1"/>
    <x v="2"/>
    <x v="4"/>
    <x v="0"/>
    <x v="2"/>
    <x v="1"/>
    <x v="0"/>
    <x v="1"/>
  </r>
  <r>
    <n v="1006"/>
    <d v="2023-03-25T00:00:00"/>
    <x v="3"/>
    <x v="3"/>
    <n v="499"/>
    <n v="5"/>
    <n v="2495"/>
    <n v="44"/>
    <x v="1"/>
    <x v="3"/>
    <x v="1"/>
    <x v="2"/>
    <x v="3"/>
    <x v="1"/>
    <x v="3"/>
    <x v="1"/>
  </r>
  <r>
    <n v="1007"/>
    <d v="2023-07-22T00:00:00"/>
    <x v="2"/>
    <x v="5"/>
    <n v="1070"/>
    <n v="2"/>
    <n v="2140"/>
    <n v="53"/>
    <x v="0"/>
    <x v="3"/>
    <x v="5"/>
    <x v="2"/>
    <x v="4"/>
    <x v="1"/>
    <x v="4"/>
    <x v="2"/>
  </r>
  <r>
    <n v="1008"/>
    <d v="2023-10-13T00:00:00"/>
    <x v="4"/>
    <x v="6"/>
    <n v="34"/>
    <n v="4"/>
    <n v="136"/>
    <n v="36"/>
    <x v="1"/>
    <x v="0"/>
    <x v="1"/>
    <x v="3"/>
    <x v="1"/>
    <x v="1"/>
    <x v="0"/>
    <x v="1"/>
  </r>
  <r>
    <n v="1009"/>
    <d v="2023-03-03T00:00:00"/>
    <x v="1"/>
    <x v="1"/>
    <n v="594"/>
    <n v="5"/>
    <n v="2970"/>
    <n v="50"/>
    <x v="1"/>
    <x v="3"/>
    <x v="2"/>
    <x v="4"/>
    <x v="3"/>
    <x v="1"/>
    <x v="3"/>
    <x v="2"/>
  </r>
  <r>
    <n v="1010"/>
    <d v="2023-10-11T00:00:00"/>
    <x v="2"/>
    <x v="5"/>
    <n v="317"/>
    <n v="2"/>
    <n v="634"/>
    <n v="53"/>
    <x v="0"/>
    <x v="4"/>
    <x v="1"/>
    <x v="3"/>
    <x v="2"/>
    <x v="0"/>
    <x v="0"/>
    <x v="2"/>
  </r>
  <r>
    <n v="1011"/>
    <d v="2023-06-20T00:00:00"/>
    <x v="5"/>
    <x v="7"/>
    <n v="1233"/>
    <n v="1"/>
    <n v="1233"/>
    <n v="50"/>
    <x v="1"/>
    <x v="5"/>
    <x v="3"/>
    <x v="2"/>
    <x v="2"/>
    <x v="1"/>
    <x v="5"/>
    <x v="2"/>
  </r>
  <r>
    <n v="1012"/>
    <d v="2023-01-11T00:00:00"/>
    <x v="6"/>
    <x v="8"/>
    <n v="254"/>
    <n v="1"/>
    <n v="254"/>
    <n v="39"/>
    <x v="0"/>
    <x v="4"/>
    <x v="0"/>
    <x v="4"/>
    <x v="5"/>
    <x v="1"/>
    <x v="2"/>
    <x v="1"/>
  </r>
  <r>
    <n v="1013"/>
    <d v="2023-09-16T00:00:00"/>
    <x v="1"/>
    <x v="9"/>
    <n v="1357"/>
    <n v="2"/>
    <n v="2714"/>
    <n v="27"/>
    <x v="0"/>
    <x v="6"/>
    <x v="1"/>
    <x v="4"/>
    <x v="0"/>
    <x v="1"/>
    <x v="1"/>
    <x v="0"/>
  </r>
  <r>
    <n v="1014"/>
    <d v="2023-07-02T00:00:00"/>
    <x v="0"/>
    <x v="10"/>
    <n v="719"/>
    <n v="3"/>
    <n v="2157"/>
    <n v="38"/>
    <x v="0"/>
    <x v="0"/>
    <x v="1"/>
    <x v="2"/>
    <x v="0"/>
    <x v="1"/>
    <x v="4"/>
    <x v="1"/>
  </r>
  <r>
    <n v="1015"/>
    <d v="2023-10-01T00:00:00"/>
    <x v="5"/>
    <x v="11"/>
    <n v="1476"/>
    <n v="3"/>
    <n v="4428"/>
    <n v="41"/>
    <x v="0"/>
    <x v="7"/>
    <x v="3"/>
    <x v="0"/>
    <x v="2"/>
    <x v="0"/>
    <x v="0"/>
    <x v="1"/>
  </r>
  <r>
    <n v="1016"/>
    <d v="2023-02-24T00:00:00"/>
    <x v="0"/>
    <x v="12"/>
    <n v="387"/>
    <n v="2"/>
    <n v="774"/>
    <n v="32"/>
    <x v="0"/>
    <x v="4"/>
    <x v="0"/>
    <x v="0"/>
    <x v="3"/>
    <x v="1"/>
    <x v="6"/>
    <x v="1"/>
  </r>
  <r>
    <n v="1017"/>
    <d v="2023-06-03T00:00:00"/>
    <x v="4"/>
    <x v="4"/>
    <n v="1456"/>
    <n v="5"/>
    <n v="7280"/>
    <n v="60"/>
    <x v="1"/>
    <x v="8"/>
    <x v="4"/>
    <x v="2"/>
    <x v="0"/>
    <x v="0"/>
    <x v="5"/>
    <x v="2"/>
  </r>
  <r>
    <n v="1018"/>
    <d v="2023-08-11T00:00:00"/>
    <x v="6"/>
    <x v="8"/>
    <n v="1063"/>
    <n v="5"/>
    <n v="5315"/>
    <n v="55"/>
    <x v="1"/>
    <x v="2"/>
    <x v="5"/>
    <x v="1"/>
    <x v="5"/>
    <x v="0"/>
    <x v="7"/>
    <x v="2"/>
  </r>
  <r>
    <n v="1019"/>
    <d v="2023-03-05T00:00:00"/>
    <x v="4"/>
    <x v="13"/>
    <n v="485"/>
    <n v="3"/>
    <n v="1455"/>
    <n v="55"/>
    <x v="0"/>
    <x v="6"/>
    <x v="3"/>
    <x v="3"/>
    <x v="0"/>
    <x v="0"/>
    <x v="3"/>
    <x v="2"/>
  </r>
  <r>
    <n v="1020"/>
    <d v="2023-02-19T00:00:00"/>
    <x v="2"/>
    <x v="2"/>
    <n v="853"/>
    <n v="5"/>
    <n v="4265"/>
    <n v="44"/>
    <x v="1"/>
    <x v="6"/>
    <x v="5"/>
    <x v="0"/>
    <x v="2"/>
    <x v="0"/>
    <x v="6"/>
    <x v="1"/>
  </r>
  <r>
    <n v="1021"/>
    <d v="2023-10-17T00:00:00"/>
    <x v="4"/>
    <x v="4"/>
    <n v="819"/>
    <n v="1"/>
    <n v="819"/>
    <n v="30"/>
    <x v="0"/>
    <x v="7"/>
    <x v="1"/>
    <x v="3"/>
    <x v="1"/>
    <x v="0"/>
    <x v="0"/>
    <x v="1"/>
  </r>
  <r>
    <n v="1022"/>
    <d v="2023-03-27T00:00:00"/>
    <x v="0"/>
    <x v="14"/>
    <n v="20"/>
    <n v="1"/>
    <n v="20"/>
    <n v="34"/>
    <x v="0"/>
    <x v="9"/>
    <x v="1"/>
    <x v="2"/>
    <x v="2"/>
    <x v="1"/>
    <x v="3"/>
    <x v="1"/>
  </r>
  <r>
    <n v="1023"/>
    <d v="2023-08-29T00:00:00"/>
    <x v="5"/>
    <x v="15"/>
    <n v="510"/>
    <n v="4"/>
    <n v="2040"/>
    <n v="27"/>
    <x v="0"/>
    <x v="8"/>
    <x v="1"/>
    <x v="0"/>
    <x v="1"/>
    <x v="1"/>
    <x v="7"/>
    <x v="0"/>
  </r>
  <r>
    <n v="1024"/>
    <d v="2023-04-10T00:00:00"/>
    <x v="5"/>
    <x v="15"/>
    <n v="26"/>
    <n v="3"/>
    <n v="78"/>
    <n v="27"/>
    <x v="1"/>
    <x v="8"/>
    <x v="0"/>
    <x v="2"/>
    <x v="4"/>
    <x v="0"/>
    <x v="8"/>
    <x v="0"/>
  </r>
  <r>
    <n v="1025"/>
    <d v="2023-09-09T00:00:00"/>
    <x v="0"/>
    <x v="10"/>
    <n v="831"/>
    <n v="3"/>
    <n v="2493"/>
    <n v="32"/>
    <x v="0"/>
    <x v="5"/>
    <x v="2"/>
    <x v="1"/>
    <x v="5"/>
    <x v="0"/>
    <x v="1"/>
    <x v="1"/>
  </r>
  <r>
    <n v="1026"/>
    <d v="2023-09-30T00:00:00"/>
    <x v="6"/>
    <x v="16"/>
    <n v="302"/>
    <n v="4"/>
    <n v="1208"/>
    <n v="39"/>
    <x v="1"/>
    <x v="4"/>
    <x v="5"/>
    <x v="4"/>
    <x v="0"/>
    <x v="1"/>
    <x v="1"/>
    <x v="1"/>
  </r>
  <r>
    <n v="1027"/>
    <d v="2023-03-18T00:00:00"/>
    <x v="5"/>
    <x v="17"/>
    <n v="656"/>
    <n v="5"/>
    <n v="3280"/>
    <n v="20"/>
    <x v="1"/>
    <x v="8"/>
    <x v="4"/>
    <x v="4"/>
    <x v="2"/>
    <x v="1"/>
    <x v="3"/>
    <x v="0"/>
  </r>
  <r>
    <n v="1028"/>
    <d v="2023-05-06T00:00:00"/>
    <x v="6"/>
    <x v="18"/>
    <n v="399"/>
    <n v="3"/>
    <n v="1197"/>
    <n v="58"/>
    <x v="1"/>
    <x v="9"/>
    <x v="1"/>
    <x v="1"/>
    <x v="0"/>
    <x v="1"/>
    <x v="9"/>
    <x v="2"/>
  </r>
  <r>
    <n v="1029"/>
    <d v="2023-06-27T00:00:00"/>
    <x v="4"/>
    <x v="19"/>
    <n v="118"/>
    <n v="1"/>
    <n v="118"/>
    <n v="27"/>
    <x v="0"/>
    <x v="9"/>
    <x v="0"/>
    <x v="4"/>
    <x v="0"/>
    <x v="1"/>
    <x v="5"/>
    <x v="0"/>
  </r>
  <r>
    <n v="1030"/>
    <d v="2023-06-10T00:00:00"/>
    <x v="3"/>
    <x v="3"/>
    <n v="275"/>
    <n v="1"/>
    <n v="275"/>
    <n v="38"/>
    <x v="0"/>
    <x v="0"/>
    <x v="2"/>
    <x v="0"/>
    <x v="2"/>
    <x v="0"/>
    <x v="5"/>
    <x v="1"/>
  </r>
  <r>
    <n v="1031"/>
    <d v="2024-01-22T00:00:00"/>
    <x v="2"/>
    <x v="20"/>
    <n v="644"/>
    <n v="3"/>
    <n v="1932"/>
    <n v="36"/>
    <x v="0"/>
    <x v="1"/>
    <x v="4"/>
    <x v="1"/>
    <x v="3"/>
    <x v="1"/>
    <x v="2"/>
    <x v="1"/>
  </r>
  <r>
    <n v="1032"/>
    <d v="2023-04-15T00:00:00"/>
    <x v="5"/>
    <x v="11"/>
    <n v="1029"/>
    <n v="2"/>
    <n v="2058"/>
    <n v="45"/>
    <x v="0"/>
    <x v="4"/>
    <x v="5"/>
    <x v="0"/>
    <x v="3"/>
    <x v="0"/>
    <x v="8"/>
    <x v="1"/>
  </r>
  <r>
    <n v="1033"/>
    <d v="2023-11-10T00:00:00"/>
    <x v="3"/>
    <x v="21"/>
    <n v="436"/>
    <n v="3"/>
    <n v="1308"/>
    <n v="52"/>
    <x v="1"/>
    <x v="8"/>
    <x v="1"/>
    <x v="4"/>
    <x v="0"/>
    <x v="0"/>
    <x v="10"/>
    <x v="2"/>
  </r>
  <r>
    <n v="1034"/>
    <d v="2023-05-24T00:00:00"/>
    <x v="6"/>
    <x v="8"/>
    <n v="685"/>
    <n v="4"/>
    <n v="2740"/>
    <n v="38"/>
    <x v="1"/>
    <x v="1"/>
    <x v="1"/>
    <x v="2"/>
    <x v="2"/>
    <x v="1"/>
    <x v="9"/>
    <x v="1"/>
  </r>
  <r>
    <n v="1035"/>
    <d v="2023-10-17T00:00:00"/>
    <x v="5"/>
    <x v="17"/>
    <n v="131"/>
    <n v="1"/>
    <n v="131"/>
    <n v="37"/>
    <x v="0"/>
    <x v="8"/>
    <x v="0"/>
    <x v="1"/>
    <x v="2"/>
    <x v="1"/>
    <x v="0"/>
    <x v="1"/>
  </r>
  <r>
    <n v="1036"/>
    <d v="2023-06-06T00:00:00"/>
    <x v="0"/>
    <x v="22"/>
    <n v="592"/>
    <n v="2"/>
    <n v="1184"/>
    <n v="60"/>
    <x v="0"/>
    <x v="0"/>
    <x v="5"/>
    <x v="0"/>
    <x v="4"/>
    <x v="1"/>
    <x v="5"/>
    <x v="2"/>
  </r>
  <r>
    <n v="1037"/>
    <d v="2023-05-08T00:00:00"/>
    <x v="3"/>
    <x v="23"/>
    <n v="937"/>
    <n v="4"/>
    <n v="3748"/>
    <n v="34"/>
    <x v="1"/>
    <x v="1"/>
    <x v="3"/>
    <x v="0"/>
    <x v="1"/>
    <x v="1"/>
    <x v="9"/>
    <x v="1"/>
  </r>
  <r>
    <n v="1038"/>
    <d v="2023-06-18T00:00:00"/>
    <x v="5"/>
    <x v="17"/>
    <n v="228"/>
    <n v="1"/>
    <n v="228"/>
    <n v="21"/>
    <x v="0"/>
    <x v="9"/>
    <x v="2"/>
    <x v="2"/>
    <x v="4"/>
    <x v="0"/>
    <x v="5"/>
    <x v="0"/>
  </r>
  <r>
    <n v="1039"/>
    <d v="2023-01-02T00:00:00"/>
    <x v="2"/>
    <x v="5"/>
    <n v="385"/>
    <n v="1"/>
    <n v="385"/>
    <n v="18"/>
    <x v="0"/>
    <x v="2"/>
    <x v="4"/>
    <x v="1"/>
    <x v="2"/>
    <x v="1"/>
    <x v="2"/>
    <x v="0"/>
  </r>
  <r>
    <n v="1040"/>
    <d v="2023-06-08T00:00:00"/>
    <x v="6"/>
    <x v="24"/>
    <n v="180"/>
    <n v="3"/>
    <n v="540"/>
    <n v="35"/>
    <x v="0"/>
    <x v="7"/>
    <x v="1"/>
    <x v="0"/>
    <x v="0"/>
    <x v="0"/>
    <x v="5"/>
    <x v="1"/>
  </r>
  <r>
    <n v="1041"/>
    <d v="2023-03-21T00:00:00"/>
    <x v="3"/>
    <x v="25"/>
    <n v="900"/>
    <n v="3"/>
    <n v="2700"/>
    <n v="51"/>
    <x v="0"/>
    <x v="2"/>
    <x v="2"/>
    <x v="0"/>
    <x v="2"/>
    <x v="0"/>
    <x v="3"/>
    <x v="2"/>
  </r>
  <r>
    <n v="1042"/>
    <d v="2023-06-21T00:00:00"/>
    <x v="6"/>
    <x v="24"/>
    <n v="97"/>
    <n v="4"/>
    <n v="388"/>
    <n v="49"/>
    <x v="1"/>
    <x v="0"/>
    <x v="5"/>
    <x v="3"/>
    <x v="0"/>
    <x v="1"/>
    <x v="5"/>
    <x v="1"/>
  </r>
  <r>
    <n v="1043"/>
    <d v="2023-09-21T00:00:00"/>
    <x v="6"/>
    <x v="16"/>
    <n v="895"/>
    <n v="5"/>
    <n v="4475"/>
    <n v="58"/>
    <x v="1"/>
    <x v="1"/>
    <x v="3"/>
    <x v="2"/>
    <x v="5"/>
    <x v="1"/>
    <x v="1"/>
    <x v="2"/>
  </r>
  <r>
    <n v="1044"/>
    <d v="2023-08-08T00:00:00"/>
    <x v="5"/>
    <x v="17"/>
    <n v="312"/>
    <n v="3"/>
    <n v="936"/>
    <n v="32"/>
    <x v="0"/>
    <x v="3"/>
    <x v="3"/>
    <x v="4"/>
    <x v="4"/>
    <x v="1"/>
    <x v="7"/>
    <x v="1"/>
  </r>
  <r>
    <n v="1045"/>
    <d v="2023-07-21T00:00:00"/>
    <x v="3"/>
    <x v="3"/>
    <n v="1232"/>
    <n v="1"/>
    <n v="1232"/>
    <n v="41"/>
    <x v="0"/>
    <x v="1"/>
    <x v="2"/>
    <x v="1"/>
    <x v="4"/>
    <x v="1"/>
    <x v="4"/>
    <x v="1"/>
  </r>
  <r>
    <n v="1046"/>
    <d v="2023-02-04T00:00:00"/>
    <x v="3"/>
    <x v="26"/>
    <n v="88"/>
    <n v="1"/>
    <n v="88"/>
    <n v="31"/>
    <x v="0"/>
    <x v="7"/>
    <x v="3"/>
    <x v="0"/>
    <x v="0"/>
    <x v="0"/>
    <x v="6"/>
    <x v="1"/>
  </r>
  <r>
    <n v="1047"/>
    <d v="2023-05-23T00:00:00"/>
    <x v="3"/>
    <x v="3"/>
    <n v="1146"/>
    <n v="3"/>
    <n v="3438"/>
    <n v="30"/>
    <x v="1"/>
    <x v="2"/>
    <x v="3"/>
    <x v="0"/>
    <x v="5"/>
    <x v="1"/>
    <x v="9"/>
    <x v="1"/>
  </r>
  <r>
    <n v="1048"/>
    <d v="2023-03-12T00:00:00"/>
    <x v="1"/>
    <x v="27"/>
    <n v="471"/>
    <n v="2"/>
    <n v="942"/>
    <n v="43"/>
    <x v="1"/>
    <x v="3"/>
    <x v="0"/>
    <x v="2"/>
    <x v="4"/>
    <x v="0"/>
    <x v="3"/>
    <x v="1"/>
  </r>
  <r>
    <n v="1049"/>
    <d v="2023-12-10T00:00:00"/>
    <x v="3"/>
    <x v="3"/>
    <n v="435"/>
    <n v="5"/>
    <n v="2175"/>
    <n v="47"/>
    <x v="0"/>
    <x v="0"/>
    <x v="3"/>
    <x v="2"/>
    <x v="0"/>
    <x v="0"/>
    <x v="11"/>
    <x v="1"/>
  </r>
  <r>
    <n v="1050"/>
    <d v="2023-09-03T00:00:00"/>
    <x v="4"/>
    <x v="6"/>
    <n v="979"/>
    <n v="4"/>
    <n v="3916"/>
    <n v="50"/>
    <x v="1"/>
    <x v="9"/>
    <x v="5"/>
    <x v="0"/>
    <x v="0"/>
    <x v="0"/>
    <x v="1"/>
    <x v="2"/>
  </r>
  <r>
    <n v="1051"/>
    <d v="2023-11-28T00:00:00"/>
    <x v="4"/>
    <x v="6"/>
    <n v="300"/>
    <n v="5"/>
    <n v="1500"/>
    <n v="58"/>
    <x v="1"/>
    <x v="2"/>
    <x v="2"/>
    <x v="1"/>
    <x v="3"/>
    <x v="1"/>
    <x v="10"/>
    <x v="2"/>
  </r>
  <r>
    <n v="1052"/>
    <d v="2023-10-16T00:00:00"/>
    <x v="3"/>
    <x v="26"/>
    <n v="23"/>
    <n v="4"/>
    <n v="92"/>
    <n v="59"/>
    <x v="0"/>
    <x v="2"/>
    <x v="3"/>
    <x v="3"/>
    <x v="3"/>
    <x v="1"/>
    <x v="0"/>
    <x v="2"/>
  </r>
  <r>
    <n v="1053"/>
    <d v="2024-02-03T00:00:00"/>
    <x v="2"/>
    <x v="28"/>
    <n v="336"/>
    <n v="1"/>
    <n v="336"/>
    <n v="33"/>
    <x v="1"/>
    <x v="6"/>
    <x v="3"/>
    <x v="4"/>
    <x v="1"/>
    <x v="0"/>
    <x v="6"/>
    <x v="1"/>
  </r>
  <r>
    <n v="1054"/>
    <d v="2023-06-17T00:00:00"/>
    <x v="0"/>
    <x v="10"/>
    <n v="97"/>
    <n v="5"/>
    <n v="485"/>
    <n v="49"/>
    <x v="1"/>
    <x v="1"/>
    <x v="4"/>
    <x v="0"/>
    <x v="4"/>
    <x v="1"/>
    <x v="5"/>
    <x v="1"/>
  </r>
  <r>
    <n v="1055"/>
    <d v="2023-03-07T00:00:00"/>
    <x v="4"/>
    <x v="29"/>
    <n v="135"/>
    <n v="5"/>
    <n v="675"/>
    <n v="27"/>
    <x v="1"/>
    <x v="3"/>
    <x v="1"/>
    <x v="1"/>
    <x v="2"/>
    <x v="1"/>
    <x v="3"/>
    <x v="0"/>
  </r>
  <r>
    <n v="1056"/>
    <d v="2023-11-27T00:00:00"/>
    <x v="6"/>
    <x v="18"/>
    <n v="318"/>
    <n v="1"/>
    <n v="318"/>
    <n v="35"/>
    <x v="1"/>
    <x v="6"/>
    <x v="3"/>
    <x v="1"/>
    <x v="5"/>
    <x v="1"/>
    <x v="10"/>
    <x v="1"/>
  </r>
  <r>
    <n v="1057"/>
    <d v="2023-12-21T00:00:00"/>
    <x v="6"/>
    <x v="18"/>
    <n v="200"/>
    <n v="1"/>
    <n v="200"/>
    <n v="54"/>
    <x v="1"/>
    <x v="2"/>
    <x v="5"/>
    <x v="2"/>
    <x v="2"/>
    <x v="0"/>
    <x v="11"/>
    <x v="2"/>
  </r>
  <r>
    <n v="1058"/>
    <d v="2023-01-06T00:00:00"/>
    <x v="2"/>
    <x v="20"/>
    <n v="738"/>
    <n v="5"/>
    <n v="3690"/>
    <n v="34"/>
    <x v="1"/>
    <x v="2"/>
    <x v="0"/>
    <x v="2"/>
    <x v="1"/>
    <x v="0"/>
    <x v="2"/>
    <x v="1"/>
  </r>
  <r>
    <n v="1059"/>
    <d v="2023-05-21T00:00:00"/>
    <x v="5"/>
    <x v="7"/>
    <n v="433"/>
    <n v="1"/>
    <n v="433"/>
    <n v="40"/>
    <x v="1"/>
    <x v="7"/>
    <x v="5"/>
    <x v="0"/>
    <x v="4"/>
    <x v="1"/>
    <x v="9"/>
    <x v="1"/>
  </r>
  <r>
    <n v="1060"/>
    <d v="2023-05-14T00:00:00"/>
    <x v="0"/>
    <x v="22"/>
    <n v="121"/>
    <n v="1"/>
    <n v="121"/>
    <n v="24"/>
    <x v="1"/>
    <x v="6"/>
    <x v="1"/>
    <x v="4"/>
    <x v="3"/>
    <x v="1"/>
    <x v="9"/>
    <x v="0"/>
  </r>
  <r>
    <n v="1061"/>
    <d v="2024-01-12T00:00:00"/>
    <x v="6"/>
    <x v="24"/>
    <n v="506"/>
    <n v="4"/>
    <n v="2024"/>
    <n v="52"/>
    <x v="1"/>
    <x v="6"/>
    <x v="0"/>
    <x v="4"/>
    <x v="1"/>
    <x v="1"/>
    <x v="2"/>
    <x v="2"/>
  </r>
  <r>
    <n v="1062"/>
    <d v="2023-01-02T00:00:00"/>
    <x v="2"/>
    <x v="30"/>
    <n v="913"/>
    <n v="2"/>
    <n v="1826"/>
    <n v="53"/>
    <x v="1"/>
    <x v="6"/>
    <x v="1"/>
    <x v="2"/>
    <x v="4"/>
    <x v="0"/>
    <x v="2"/>
    <x v="2"/>
  </r>
  <r>
    <n v="1063"/>
    <d v="2023-08-23T00:00:00"/>
    <x v="3"/>
    <x v="21"/>
    <n v="610"/>
    <n v="1"/>
    <n v="610"/>
    <n v="35"/>
    <x v="0"/>
    <x v="3"/>
    <x v="5"/>
    <x v="3"/>
    <x v="5"/>
    <x v="0"/>
    <x v="7"/>
    <x v="1"/>
  </r>
  <r>
    <n v="1064"/>
    <d v="2024-01-29T00:00:00"/>
    <x v="1"/>
    <x v="31"/>
    <n v="430"/>
    <n v="4"/>
    <n v="1720"/>
    <n v="37"/>
    <x v="0"/>
    <x v="4"/>
    <x v="3"/>
    <x v="1"/>
    <x v="4"/>
    <x v="1"/>
    <x v="2"/>
    <x v="1"/>
  </r>
  <r>
    <n v="1065"/>
    <d v="2023-10-05T00:00:00"/>
    <x v="0"/>
    <x v="12"/>
    <n v="383"/>
    <n v="4"/>
    <n v="1532"/>
    <n v="24"/>
    <x v="0"/>
    <x v="6"/>
    <x v="2"/>
    <x v="3"/>
    <x v="4"/>
    <x v="0"/>
    <x v="0"/>
    <x v="0"/>
  </r>
  <r>
    <n v="1066"/>
    <d v="2023-02-27T00:00:00"/>
    <x v="5"/>
    <x v="32"/>
    <n v="985"/>
    <n v="3"/>
    <n v="2955"/>
    <n v="53"/>
    <x v="0"/>
    <x v="4"/>
    <x v="1"/>
    <x v="3"/>
    <x v="1"/>
    <x v="1"/>
    <x v="6"/>
    <x v="2"/>
  </r>
  <r>
    <n v="1067"/>
    <d v="2023-03-26T00:00:00"/>
    <x v="1"/>
    <x v="9"/>
    <n v="835"/>
    <n v="5"/>
    <n v="4175"/>
    <n v="29"/>
    <x v="1"/>
    <x v="7"/>
    <x v="3"/>
    <x v="2"/>
    <x v="1"/>
    <x v="1"/>
    <x v="3"/>
    <x v="0"/>
  </r>
  <r>
    <n v="1068"/>
    <d v="2023-10-15T00:00:00"/>
    <x v="4"/>
    <x v="6"/>
    <n v="882"/>
    <n v="4"/>
    <n v="3528"/>
    <n v="46"/>
    <x v="0"/>
    <x v="6"/>
    <x v="4"/>
    <x v="1"/>
    <x v="0"/>
    <x v="1"/>
    <x v="0"/>
    <x v="1"/>
  </r>
  <r>
    <n v="1069"/>
    <d v="2023-08-04T00:00:00"/>
    <x v="3"/>
    <x v="26"/>
    <n v="1493"/>
    <n v="4"/>
    <n v="5972"/>
    <n v="38"/>
    <x v="0"/>
    <x v="5"/>
    <x v="3"/>
    <x v="4"/>
    <x v="5"/>
    <x v="1"/>
    <x v="7"/>
    <x v="1"/>
  </r>
  <r>
    <n v="1070"/>
    <d v="2023-04-02T00:00:00"/>
    <x v="5"/>
    <x v="32"/>
    <n v="1420"/>
    <n v="4"/>
    <n v="5680"/>
    <n v="39"/>
    <x v="1"/>
    <x v="5"/>
    <x v="3"/>
    <x v="2"/>
    <x v="1"/>
    <x v="0"/>
    <x v="8"/>
    <x v="1"/>
  </r>
  <r>
    <n v="1071"/>
    <d v="2023-02-05T00:00:00"/>
    <x v="4"/>
    <x v="19"/>
    <n v="928"/>
    <n v="1"/>
    <n v="928"/>
    <n v="36"/>
    <x v="0"/>
    <x v="9"/>
    <x v="0"/>
    <x v="2"/>
    <x v="1"/>
    <x v="1"/>
    <x v="6"/>
    <x v="1"/>
  </r>
  <r>
    <n v="1072"/>
    <d v="2023-09-28T00:00:00"/>
    <x v="1"/>
    <x v="31"/>
    <n v="1239"/>
    <n v="5"/>
    <n v="6195"/>
    <n v="34"/>
    <x v="0"/>
    <x v="1"/>
    <x v="2"/>
    <x v="1"/>
    <x v="3"/>
    <x v="0"/>
    <x v="1"/>
    <x v="1"/>
  </r>
  <r>
    <n v="1073"/>
    <d v="2023-12-01T00:00:00"/>
    <x v="3"/>
    <x v="21"/>
    <n v="505"/>
    <n v="1"/>
    <n v="505"/>
    <n v="26"/>
    <x v="0"/>
    <x v="4"/>
    <x v="3"/>
    <x v="3"/>
    <x v="3"/>
    <x v="0"/>
    <x v="11"/>
    <x v="0"/>
  </r>
  <r>
    <n v="1074"/>
    <d v="2023-02-04T00:00:00"/>
    <x v="3"/>
    <x v="25"/>
    <n v="446"/>
    <n v="1"/>
    <n v="446"/>
    <n v="60"/>
    <x v="0"/>
    <x v="5"/>
    <x v="1"/>
    <x v="3"/>
    <x v="1"/>
    <x v="0"/>
    <x v="6"/>
    <x v="2"/>
  </r>
  <r>
    <n v="1075"/>
    <d v="2023-04-24T00:00:00"/>
    <x v="6"/>
    <x v="18"/>
    <n v="201"/>
    <n v="3"/>
    <n v="603"/>
    <n v="45"/>
    <x v="1"/>
    <x v="5"/>
    <x v="0"/>
    <x v="4"/>
    <x v="4"/>
    <x v="0"/>
    <x v="8"/>
    <x v="1"/>
  </r>
  <r>
    <n v="1076"/>
    <d v="2023-07-30T00:00:00"/>
    <x v="4"/>
    <x v="4"/>
    <n v="194"/>
    <n v="4"/>
    <n v="776"/>
    <n v="36"/>
    <x v="0"/>
    <x v="1"/>
    <x v="1"/>
    <x v="2"/>
    <x v="1"/>
    <x v="1"/>
    <x v="4"/>
    <x v="1"/>
  </r>
  <r>
    <n v="1077"/>
    <d v="2023-12-22T00:00:00"/>
    <x v="4"/>
    <x v="6"/>
    <n v="1422"/>
    <n v="3"/>
    <n v="4266"/>
    <n v="41"/>
    <x v="1"/>
    <x v="4"/>
    <x v="2"/>
    <x v="4"/>
    <x v="5"/>
    <x v="1"/>
    <x v="11"/>
    <x v="1"/>
  </r>
  <r>
    <n v="1078"/>
    <d v="2023-10-06T00:00:00"/>
    <x v="3"/>
    <x v="25"/>
    <n v="584"/>
    <n v="4"/>
    <n v="2336"/>
    <n v="47"/>
    <x v="0"/>
    <x v="1"/>
    <x v="2"/>
    <x v="2"/>
    <x v="2"/>
    <x v="0"/>
    <x v="0"/>
    <x v="1"/>
  </r>
  <r>
    <n v="1079"/>
    <d v="2023-07-02T00:00:00"/>
    <x v="6"/>
    <x v="16"/>
    <n v="1239"/>
    <n v="3"/>
    <n v="3717"/>
    <n v="39"/>
    <x v="1"/>
    <x v="3"/>
    <x v="4"/>
    <x v="4"/>
    <x v="2"/>
    <x v="1"/>
    <x v="4"/>
    <x v="1"/>
  </r>
  <r>
    <n v="1080"/>
    <d v="2023-10-17T00:00:00"/>
    <x v="6"/>
    <x v="33"/>
    <n v="1119"/>
    <n v="3"/>
    <n v="3357"/>
    <n v="27"/>
    <x v="1"/>
    <x v="2"/>
    <x v="2"/>
    <x v="3"/>
    <x v="2"/>
    <x v="0"/>
    <x v="0"/>
    <x v="0"/>
  </r>
  <r>
    <n v="1081"/>
    <d v="2023-06-13T00:00:00"/>
    <x v="3"/>
    <x v="23"/>
    <n v="993"/>
    <n v="5"/>
    <n v="4965"/>
    <n v="25"/>
    <x v="1"/>
    <x v="0"/>
    <x v="4"/>
    <x v="2"/>
    <x v="0"/>
    <x v="0"/>
    <x v="5"/>
    <x v="0"/>
  </r>
  <r>
    <n v="1082"/>
    <d v="2023-01-27T00:00:00"/>
    <x v="1"/>
    <x v="31"/>
    <n v="816"/>
    <n v="2"/>
    <n v="1632"/>
    <n v="53"/>
    <x v="0"/>
    <x v="6"/>
    <x v="0"/>
    <x v="1"/>
    <x v="3"/>
    <x v="1"/>
    <x v="2"/>
    <x v="2"/>
  </r>
  <r>
    <n v="1083"/>
    <d v="2023-04-09T00:00:00"/>
    <x v="3"/>
    <x v="25"/>
    <n v="464"/>
    <n v="1"/>
    <n v="464"/>
    <n v="46"/>
    <x v="1"/>
    <x v="7"/>
    <x v="0"/>
    <x v="1"/>
    <x v="4"/>
    <x v="0"/>
    <x v="8"/>
    <x v="1"/>
  </r>
  <r>
    <n v="1084"/>
    <d v="2023-05-18T00:00:00"/>
    <x v="1"/>
    <x v="27"/>
    <n v="1334"/>
    <n v="1"/>
    <n v="1334"/>
    <n v="33"/>
    <x v="1"/>
    <x v="3"/>
    <x v="3"/>
    <x v="4"/>
    <x v="1"/>
    <x v="0"/>
    <x v="9"/>
    <x v="1"/>
  </r>
  <r>
    <n v="1085"/>
    <d v="2023-03-13T00:00:00"/>
    <x v="3"/>
    <x v="23"/>
    <n v="1231"/>
    <n v="4"/>
    <n v="4924"/>
    <n v="40"/>
    <x v="0"/>
    <x v="5"/>
    <x v="3"/>
    <x v="2"/>
    <x v="1"/>
    <x v="1"/>
    <x v="3"/>
    <x v="1"/>
  </r>
  <r>
    <n v="1086"/>
    <d v="2023-08-13T00:00:00"/>
    <x v="3"/>
    <x v="26"/>
    <n v="1164"/>
    <n v="2"/>
    <n v="2328"/>
    <n v="49"/>
    <x v="1"/>
    <x v="6"/>
    <x v="5"/>
    <x v="1"/>
    <x v="4"/>
    <x v="0"/>
    <x v="7"/>
    <x v="1"/>
  </r>
  <r>
    <n v="1087"/>
    <d v="2023-01-24T00:00:00"/>
    <x v="5"/>
    <x v="15"/>
    <n v="706"/>
    <n v="5"/>
    <n v="3530"/>
    <n v="43"/>
    <x v="0"/>
    <x v="7"/>
    <x v="5"/>
    <x v="3"/>
    <x v="0"/>
    <x v="1"/>
    <x v="2"/>
    <x v="1"/>
  </r>
  <r>
    <n v="1088"/>
    <d v="2024-02-05T00:00:00"/>
    <x v="0"/>
    <x v="14"/>
    <n v="1321"/>
    <n v="4"/>
    <n v="5284"/>
    <n v="46"/>
    <x v="1"/>
    <x v="8"/>
    <x v="1"/>
    <x v="1"/>
    <x v="3"/>
    <x v="1"/>
    <x v="6"/>
    <x v="1"/>
  </r>
  <r>
    <n v="1089"/>
    <d v="2023-03-03T00:00:00"/>
    <x v="4"/>
    <x v="13"/>
    <n v="732"/>
    <n v="5"/>
    <n v="3660"/>
    <n v="29"/>
    <x v="0"/>
    <x v="2"/>
    <x v="3"/>
    <x v="3"/>
    <x v="5"/>
    <x v="1"/>
    <x v="3"/>
    <x v="0"/>
  </r>
  <r>
    <n v="1090"/>
    <d v="2023-02-26T00:00:00"/>
    <x v="1"/>
    <x v="31"/>
    <n v="1325"/>
    <n v="2"/>
    <n v="2650"/>
    <n v="30"/>
    <x v="1"/>
    <x v="1"/>
    <x v="0"/>
    <x v="4"/>
    <x v="4"/>
    <x v="0"/>
    <x v="6"/>
    <x v="1"/>
  </r>
  <r>
    <n v="1091"/>
    <d v="2023-04-02T00:00:00"/>
    <x v="2"/>
    <x v="20"/>
    <n v="1026"/>
    <n v="1"/>
    <n v="1026"/>
    <n v="30"/>
    <x v="1"/>
    <x v="0"/>
    <x v="3"/>
    <x v="4"/>
    <x v="4"/>
    <x v="0"/>
    <x v="8"/>
    <x v="1"/>
  </r>
  <r>
    <n v="1092"/>
    <d v="2023-10-05T00:00:00"/>
    <x v="4"/>
    <x v="29"/>
    <n v="923"/>
    <n v="4"/>
    <n v="3692"/>
    <n v="59"/>
    <x v="0"/>
    <x v="1"/>
    <x v="0"/>
    <x v="1"/>
    <x v="3"/>
    <x v="0"/>
    <x v="0"/>
    <x v="2"/>
  </r>
  <r>
    <n v="1093"/>
    <d v="2023-12-09T00:00:00"/>
    <x v="2"/>
    <x v="5"/>
    <n v="665"/>
    <n v="2"/>
    <n v="1330"/>
    <n v="59"/>
    <x v="0"/>
    <x v="8"/>
    <x v="1"/>
    <x v="1"/>
    <x v="1"/>
    <x v="0"/>
    <x v="11"/>
    <x v="2"/>
  </r>
  <r>
    <n v="1094"/>
    <d v="2023-09-29T00:00:00"/>
    <x v="0"/>
    <x v="10"/>
    <n v="410"/>
    <n v="1"/>
    <n v="410"/>
    <n v="43"/>
    <x v="1"/>
    <x v="4"/>
    <x v="1"/>
    <x v="4"/>
    <x v="5"/>
    <x v="1"/>
    <x v="1"/>
    <x v="1"/>
  </r>
  <r>
    <n v="1095"/>
    <d v="2023-07-01T00:00:00"/>
    <x v="1"/>
    <x v="27"/>
    <n v="1497"/>
    <n v="3"/>
    <n v="4491"/>
    <n v="48"/>
    <x v="1"/>
    <x v="6"/>
    <x v="4"/>
    <x v="1"/>
    <x v="2"/>
    <x v="0"/>
    <x v="4"/>
    <x v="1"/>
  </r>
  <r>
    <n v="1096"/>
    <d v="2023-06-20T00:00:00"/>
    <x v="4"/>
    <x v="13"/>
    <n v="169"/>
    <n v="5"/>
    <n v="845"/>
    <n v="50"/>
    <x v="1"/>
    <x v="8"/>
    <x v="3"/>
    <x v="3"/>
    <x v="2"/>
    <x v="1"/>
    <x v="5"/>
    <x v="2"/>
  </r>
  <r>
    <n v="1097"/>
    <d v="2023-10-11T00:00:00"/>
    <x v="0"/>
    <x v="34"/>
    <n v="1396"/>
    <n v="3"/>
    <n v="4188"/>
    <n v="55"/>
    <x v="0"/>
    <x v="3"/>
    <x v="0"/>
    <x v="2"/>
    <x v="1"/>
    <x v="0"/>
    <x v="0"/>
    <x v="2"/>
  </r>
  <r>
    <n v="1098"/>
    <d v="2024-01-16T00:00:00"/>
    <x v="4"/>
    <x v="6"/>
    <n v="311"/>
    <n v="3"/>
    <n v="933"/>
    <n v="26"/>
    <x v="0"/>
    <x v="1"/>
    <x v="1"/>
    <x v="0"/>
    <x v="5"/>
    <x v="1"/>
    <x v="2"/>
    <x v="0"/>
  </r>
  <r>
    <n v="1099"/>
    <d v="2023-05-24T00:00:00"/>
    <x v="3"/>
    <x v="3"/>
    <n v="1291"/>
    <n v="1"/>
    <n v="1291"/>
    <n v="47"/>
    <x v="1"/>
    <x v="5"/>
    <x v="0"/>
    <x v="2"/>
    <x v="3"/>
    <x v="1"/>
    <x v="9"/>
    <x v="1"/>
  </r>
  <r>
    <n v="1100"/>
    <d v="2024-02-04T00:00:00"/>
    <x v="4"/>
    <x v="29"/>
    <n v="1492"/>
    <n v="1"/>
    <n v="1492"/>
    <n v="44"/>
    <x v="0"/>
    <x v="2"/>
    <x v="0"/>
    <x v="4"/>
    <x v="2"/>
    <x v="0"/>
    <x v="6"/>
    <x v="1"/>
  </r>
  <r>
    <n v="1101"/>
    <d v="2023-10-28T00:00:00"/>
    <x v="5"/>
    <x v="32"/>
    <n v="1369"/>
    <n v="5"/>
    <n v="6845"/>
    <n v="18"/>
    <x v="0"/>
    <x v="4"/>
    <x v="5"/>
    <x v="0"/>
    <x v="0"/>
    <x v="0"/>
    <x v="0"/>
    <x v="0"/>
  </r>
  <r>
    <n v="1102"/>
    <d v="2023-05-18T00:00:00"/>
    <x v="3"/>
    <x v="3"/>
    <n v="1218"/>
    <n v="2"/>
    <n v="2436"/>
    <n v="36"/>
    <x v="0"/>
    <x v="9"/>
    <x v="3"/>
    <x v="0"/>
    <x v="0"/>
    <x v="0"/>
    <x v="9"/>
    <x v="1"/>
  </r>
  <r>
    <n v="1103"/>
    <d v="2023-04-20T00:00:00"/>
    <x v="3"/>
    <x v="21"/>
    <n v="726"/>
    <n v="4"/>
    <n v="2904"/>
    <n v="29"/>
    <x v="1"/>
    <x v="8"/>
    <x v="0"/>
    <x v="2"/>
    <x v="4"/>
    <x v="1"/>
    <x v="8"/>
    <x v="0"/>
  </r>
  <r>
    <n v="1104"/>
    <d v="2023-06-25T00:00:00"/>
    <x v="6"/>
    <x v="33"/>
    <n v="787"/>
    <n v="4"/>
    <n v="3148"/>
    <n v="57"/>
    <x v="0"/>
    <x v="6"/>
    <x v="4"/>
    <x v="2"/>
    <x v="2"/>
    <x v="1"/>
    <x v="5"/>
    <x v="2"/>
  </r>
  <r>
    <n v="1105"/>
    <d v="2023-01-22T00:00:00"/>
    <x v="2"/>
    <x v="20"/>
    <n v="226"/>
    <n v="2"/>
    <n v="452"/>
    <n v="45"/>
    <x v="0"/>
    <x v="7"/>
    <x v="0"/>
    <x v="2"/>
    <x v="0"/>
    <x v="0"/>
    <x v="2"/>
    <x v="1"/>
  </r>
  <r>
    <n v="1106"/>
    <d v="2023-03-31T00:00:00"/>
    <x v="5"/>
    <x v="15"/>
    <n v="1396"/>
    <n v="3"/>
    <n v="4188"/>
    <n v="20"/>
    <x v="1"/>
    <x v="2"/>
    <x v="4"/>
    <x v="4"/>
    <x v="5"/>
    <x v="1"/>
    <x v="3"/>
    <x v="0"/>
  </r>
  <r>
    <n v="1107"/>
    <d v="2023-08-04T00:00:00"/>
    <x v="4"/>
    <x v="4"/>
    <n v="822"/>
    <n v="4"/>
    <n v="3288"/>
    <n v="32"/>
    <x v="0"/>
    <x v="2"/>
    <x v="5"/>
    <x v="4"/>
    <x v="2"/>
    <x v="1"/>
    <x v="7"/>
    <x v="1"/>
  </r>
  <r>
    <n v="1108"/>
    <d v="2023-06-05T00:00:00"/>
    <x v="3"/>
    <x v="26"/>
    <n v="125"/>
    <n v="5"/>
    <n v="625"/>
    <n v="38"/>
    <x v="1"/>
    <x v="3"/>
    <x v="2"/>
    <x v="3"/>
    <x v="4"/>
    <x v="1"/>
    <x v="5"/>
    <x v="1"/>
  </r>
  <r>
    <n v="1109"/>
    <d v="2023-10-07T00:00:00"/>
    <x v="5"/>
    <x v="7"/>
    <n v="1362"/>
    <n v="4"/>
    <n v="5448"/>
    <n v="35"/>
    <x v="1"/>
    <x v="3"/>
    <x v="1"/>
    <x v="1"/>
    <x v="0"/>
    <x v="1"/>
    <x v="0"/>
    <x v="1"/>
  </r>
  <r>
    <n v="1110"/>
    <d v="2023-10-08T00:00:00"/>
    <x v="4"/>
    <x v="29"/>
    <n v="693"/>
    <n v="2"/>
    <n v="1386"/>
    <n v="31"/>
    <x v="1"/>
    <x v="2"/>
    <x v="0"/>
    <x v="2"/>
    <x v="3"/>
    <x v="0"/>
    <x v="0"/>
    <x v="1"/>
  </r>
  <r>
    <n v="1111"/>
    <d v="2024-01-02T00:00:00"/>
    <x v="3"/>
    <x v="23"/>
    <n v="940"/>
    <n v="4"/>
    <n v="3760"/>
    <n v="31"/>
    <x v="0"/>
    <x v="7"/>
    <x v="5"/>
    <x v="0"/>
    <x v="0"/>
    <x v="1"/>
    <x v="2"/>
    <x v="1"/>
  </r>
  <r>
    <n v="1112"/>
    <d v="2023-02-22T00:00:00"/>
    <x v="1"/>
    <x v="1"/>
    <n v="1205"/>
    <n v="5"/>
    <n v="6025"/>
    <n v="21"/>
    <x v="1"/>
    <x v="7"/>
    <x v="5"/>
    <x v="1"/>
    <x v="2"/>
    <x v="0"/>
    <x v="6"/>
    <x v="0"/>
  </r>
  <r>
    <n v="1113"/>
    <d v="2023-04-23T00:00:00"/>
    <x v="0"/>
    <x v="14"/>
    <n v="1445"/>
    <n v="4"/>
    <n v="5780"/>
    <n v="55"/>
    <x v="0"/>
    <x v="9"/>
    <x v="2"/>
    <x v="2"/>
    <x v="5"/>
    <x v="1"/>
    <x v="8"/>
    <x v="2"/>
  </r>
  <r>
    <n v="1114"/>
    <d v="2023-11-15T00:00:00"/>
    <x v="4"/>
    <x v="6"/>
    <n v="224"/>
    <n v="5"/>
    <n v="1120"/>
    <n v="32"/>
    <x v="1"/>
    <x v="6"/>
    <x v="3"/>
    <x v="0"/>
    <x v="0"/>
    <x v="0"/>
    <x v="10"/>
    <x v="1"/>
  </r>
  <r>
    <n v="1115"/>
    <d v="2023-03-21T00:00:00"/>
    <x v="3"/>
    <x v="21"/>
    <n v="241"/>
    <n v="5"/>
    <n v="1205"/>
    <n v="41"/>
    <x v="1"/>
    <x v="4"/>
    <x v="2"/>
    <x v="2"/>
    <x v="4"/>
    <x v="1"/>
    <x v="3"/>
    <x v="1"/>
  </r>
  <r>
    <n v="1116"/>
    <d v="2023-01-29T00:00:00"/>
    <x v="3"/>
    <x v="21"/>
    <n v="218"/>
    <n v="5"/>
    <n v="1090"/>
    <n v="46"/>
    <x v="1"/>
    <x v="0"/>
    <x v="5"/>
    <x v="1"/>
    <x v="1"/>
    <x v="1"/>
    <x v="2"/>
    <x v="1"/>
  </r>
  <r>
    <n v="1117"/>
    <d v="2023-04-09T00:00:00"/>
    <x v="0"/>
    <x v="22"/>
    <n v="1297"/>
    <n v="5"/>
    <n v="6485"/>
    <n v="19"/>
    <x v="1"/>
    <x v="7"/>
    <x v="2"/>
    <x v="3"/>
    <x v="5"/>
    <x v="1"/>
    <x v="8"/>
    <x v="0"/>
  </r>
  <r>
    <n v="1118"/>
    <d v="2024-01-07T00:00:00"/>
    <x v="2"/>
    <x v="20"/>
    <n v="168"/>
    <n v="5"/>
    <n v="840"/>
    <n v="40"/>
    <x v="0"/>
    <x v="3"/>
    <x v="0"/>
    <x v="1"/>
    <x v="4"/>
    <x v="1"/>
    <x v="2"/>
    <x v="1"/>
  </r>
  <r>
    <n v="1119"/>
    <d v="2023-01-30T00:00:00"/>
    <x v="6"/>
    <x v="33"/>
    <n v="70"/>
    <n v="1"/>
    <n v="70"/>
    <n v="22"/>
    <x v="0"/>
    <x v="3"/>
    <x v="2"/>
    <x v="0"/>
    <x v="1"/>
    <x v="1"/>
    <x v="2"/>
    <x v="0"/>
  </r>
  <r>
    <n v="1120"/>
    <d v="2023-05-23T00:00:00"/>
    <x v="6"/>
    <x v="8"/>
    <n v="877"/>
    <n v="1"/>
    <n v="877"/>
    <n v="27"/>
    <x v="0"/>
    <x v="7"/>
    <x v="5"/>
    <x v="4"/>
    <x v="4"/>
    <x v="1"/>
    <x v="9"/>
    <x v="0"/>
  </r>
  <r>
    <n v="1121"/>
    <d v="2023-07-17T00:00:00"/>
    <x v="0"/>
    <x v="22"/>
    <n v="195"/>
    <n v="3"/>
    <n v="585"/>
    <n v="30"/>
    <x v="1"/>
    <x v="2"/>
    <x v="4"/>
    <x v="0"/>
    <x v="0"/>
    <x v="1"/>
    <x v="4"/>
    <x v="1"/>
  </r>
  <r>
    <n v="1122"/>
    <d v="2023-03-28T00:00:00"/>
    <x v="3"/>
    <x v="3"/>
    <n v="219"/>
    <n v="1"/>
    <n v="219"/>
    <n v="41"/>
    <x v="0"/>
    <x v="8"/>
    <x v="1"/>
    <x v="1"/>
    <x v="4"/>
    <x v="0"/>
    <x v="3"/>
    <x v="1"/>
  </r>
  <r>
    <n v="1123"/>
    <d v="2023-10-08T00:00:00"/>
    <x v="6"/>
    <x v="33"/>
    <n v="995"/>
    <n v="3"/>
    <n v="2985"/>
    <n v="52"/>
    <x v="1"/>
    <x v="5"/>
    <x v="1"/>
    <x v="4"/>
    <x v="0"/>
    <x v="1"/>
    <x v="0"/>
    <x v="2"/>
  </r>
  <r>
    <n v="1124"/>
    <d v="2024-02-03T00:00:00"/>
    <x v="3"/>
    <x v="23"/>
    <n v="524"/>
    <n v="5"/>
    <n v="2620"/>
    <n v="23"/>
    <x v="0"/>
    <x v="0"/>
    <x v="2"/>
    <x v="1"/>
    <x v="3"/>
    <x v="1"/>
    <x v="6"/>
    <x v="0"/>
  </r>
  <r>
    <n v="1125"/>
    <d v="2023-03-16T00:00:00"/>
    <x v="0"/>
    <x v="22"/>
    <n v="954"/>
    <n v="5"/>
    <n v="4770"/>
    <n v="30"/>
    <x v="1"/>
    <x v="5"/>
    <x v="0"/>
    <x v="0"/>
    <x v="5"/>
    <x v="1"/>
    <x v="3"/>
    <x v="1"/>
  </r>
  <r>
    <n v="1126"/>
    <d v="2023-11-23T00:00:00"/>
    <x v="2"/>
    <x v="30"/>
    <n v="757"/>
    <n v="2"/>
    <n v="1514"/>
    <n v="53"/>
    <x v="0"/>
    <x v="7"/>
    <x v="0"/>
    <x v="2"/>
    <x v="5"/>
    <x v="1"/>
    <x v="10"/>
    <x v="2"/>
  </r>
  <r>
    <n v="1127"/>
    <d v="2024-01-02T00:00:00"/>
    <x v="6"/>
    <x v="24"/>
    <n v="383"/>
    <n v="4"/>
    <n v="1532"/>
    <n v="23"/>
    <x v="1"/>
    <x v="9"/>
    <x v="2"/>
    <x v="1"/>
    <x v="5"/>
    <x v="1"/>
    <x v="2"/>
    <x v="0"/>
  </r>
  <r>
    <n v="1128"/>
    <d v="2023-10-05T00:00:00"/>
    <x v="3"/>
    <x v="23"/>
    <n v="294"/>
    <n v="1"/>
    <n v="294"/>
    <n v="52"/>
    <x v="1"/>
    <x v="4"/>
    <x v="5"/>
    <x v="3"/>
    <x v="0"/>
    <x v="0"/>
    <x v="0"/>
    <x v="2"/>
  </r>
  <r>
    <n v="1129"/>
    <d v="2023-12-15T00:00:00"/>
    <x v="5"/>
    <x v="11"/>
    <n v="924"/>
    <n v="1"/>
    <n v="924"/>
    <n v="25"/>
    <x v="0"/>
    <x v="5"/>
    <x v="0"/>
    <x v="4"/>
    <x v="2"/>
    <x v="1"/>
    <x v="11"/>
    <x v="0"/>
  </r>
  <r>
    <n v="1130"/>
    <d v="2023-02-03T00:00:00"/>
    <x v="1"/>
    <x v="27"/>
    <n v="888"/>
    <n v="2"/>
    <n v="1776"/>
    <n v="53"/>
    <x v="1"/>
    <x v="9"/>
    <x v="0"/>
    <x v="4"/>
    <x v="4"/>
    <x v="0"/>
    <x v="6"/>
    <x v="2"/>
  </r>
  <r>
    <n v="1131"/>
    <d v="2023-07-27T00:00:00"/>
    <x v="6"/>
    <x v="18"/>
    <n v="1101"/>
    <n v="1"/>
    <n v="1101"/>
    <n v="35"/>
    <x v="0"/>
    <x v="1"/>
    <x v="5"/>
    <x v="0"/>
    <x v="3"/>
    <x v="1"/>
    <x v="4"/>
    <x v="1"/>
  </r>
  <r>
    <n v="1132"/>
    <d v="2023-10-05T00:00:00"/>
    <x v="1"/>
    <x v="9"/>
    <n v="1170"/>
    <n v="1"/>
    <n v="1170"/>
    <n v="38"/>
    <x v="0"/>
    <x v="1"/>
    <x v="2"/>
    <x v="1"/>
    <x v="3"/>
    <x v="0"/>
    <x v="0"/>
    <x v="1"/>
  </r>
  <r>
    <n v="1133"/>
    <d v="2023-09-17T00:00:00"/>
    <x v="2"/>
    <x v="28"/>
    <n v="370"/>
    <n v="2"/>
    <n v="740"/>
    <n v="59"/>
    <x v="0"/>
    <x v="7"/>
    <x v="5"/>
    <x v="4"/>
    <x v="3"/>
    <x v="0"/>
    <x v="1"/>
    <x v="2"/>
  </r>
  <r>
    <n v="1134"/>
    <d v="2023-09-17T00:00:00"/>
    <x v="0"/>
    <x v="14"/>
    <n v="218"/>
    <n v="2"/>
    <n v="436"/>
    <n v="47"/>
    <x v="1"/>
    <x v="6"/>
    <x v="0"/>
    <x v="0"/>
    <x v="4"/>
    <x v="0"/>
    <x v="1"/>
    <x v="1"/>
  </r>
  <r>
    <n v="1135"/>
    <d v="2023-01-13T00:00:00"/>
    <x v="2"/>
    <x v="5"/>
    <n v="433"/>
    <n v="2"/>
    <n v="866"/>
    <n v="30"/>
    <x v="1"/>
    <x v="7"/>
    <x v="2"/>
    <x v="3"/>
    <x v="1"/>
    <x v="0"/>
    <x v="2"/>
    <x v="1"/>
  </r>
  <r>
    <n v="1136"/>
    <d v="2023-08-21T00:00:00"/>
    <x v="6"/>
    <x v="33"/>
    <n v="627"/>
    <n v="3"/>
    <n v="1881"/>
    <n v="33"/>
    <x v="0"/>
    <x v="1"/>
    <x v="1"/>
    <x v="2"/>
    <x v="5"/>
    <x v="0"/>
    <x v="7"/>
    <x v="1"/>
  </r>
  <r>
    <n v="1137"/>
    <d v="2023-06-13T00:00:00"/>
    <x v="0"/>
    <x v="14"/>
    <n v="1289"/>
    <n v="3"/>
    <n v="3867"/>
    <n v="42"/>
    <x v="1"/>
    <x v="8"/>
    <x v="4"/>
    <x v="0"/>
    <x v="2"/>
    <x v="1"/>
    <x v="5"/>
    <x v="1"/>
  </r>
  <r>
    <n v="1138"/>
    <d v="2024-01-19T00:00:00"/>
    <x v="2"/>
    <x v="5"/>
    <n v="713"/>
    <n v="3"/>
    <n v="2139"/>
    <n v="33"/>
    <x v="0"/>
    <x v="5"/>
    <x v="5"/>
    <x v="0"/>
    <x v="5"/>
    <x v="0"/>
    <x v="2"/>
    <x v="1"/>
  </r>
  <r>
    <n v="1139"/>
    <d v="2023-02-13T00:00:00"/>
    <x v="1"/>
    <x v="1"/>
    <n v="240"/>
    <n v="4"/>
    <n v="960"/>
    <n v="39"/>
    <x v="1"/>
    <x v="1"/>
    <x v="0"/>
    <x v="2"/>
    <x v="4"/>
    <x v="1"/>
    <x v="6"/>
    <x v="1"/>
  </r>
  <r>
    <n v="1140"/>
    <d v="2023-09-23T00:00:00"/>
    <x v="4"/>
    <x v="29"/>
    <n v="417"/>
    <n v="5"/>
    <n v="2085"/>
    <n v="31"/>
    <x v="0"/>
    <x v="2"/>
    <x v="5"/>
    <x v="0"/>
    <x v="0"/>
    <x v="1"/>
    <x v="1"/>
    <x v="1"/>
  </r>
  <r>
    <n v="1141"/>
    <d v="2023-12-23T00:00:00"/>
    <x v="3"/>
    <x v="25"/>
    <n v="1416"/>
    <n v="1"/>
    <n v="1416"/>
    <n v="45"/>
    <x v="0"/>
    <x v="3"/>
    <x v="3"/>
    <x v="0"/>
    <x v="2"/>
    <x v="1"/>
    <x v="11"/>
    <x v="1"/>
  </r>
  <r>
    <n v="1142"/>
    <d v="2023-04-28T00:00:00"/>
    <x v="4"/>
    <x v="29"/>
    <n v="1467"/>
    <n v="1"/>
    <n v="1467"/>
    <n v="51"/>
    <x v="0"/>
    <x v="6"/>
    <x v="4"/>
    <x v="4"/>
    <x v="0"/>
    <x v="1"/>
    <x v="8"/>
    <x v="2"/>
  </r>
  <r>
    <n v="1143"/>
    <d v="2023-07-23T00:00:00"/>
    <x v="1"/>
    <x v="35"/>
    <n v="778"/>
    <n v="3"/>
    <n v="2334"/>
    <n v="49"/>
    <x v="1"/>
    <x v="2"/>
    <x v="3"/>
    <x v="1"/>
    <x v="1"/>
    <x v="0"/>
    <x v="4"/>
    <x v="1"/>
  </r>
  <r>
    <n v="1144"/>
    <d v="2023-12-17T00:00:00"/>
    <x v="2"/>
    <x v="2"/>
    <n v="1401"/>
    <n v="5"/>
    <n v="7005"/>
    <n v="40"/>
    <x v="0"/>
    <x v="9"/>
    <x v="0"/>
    <x v="2"/>
    <x v="5"/>
    <x v="1"/>
    <x v="11"/>
    <x v="1"/>
  </r>
  <r>
    <n v="1145"/>
    <d v="2023-02-14T00:00:00"/>
    <x v="6"/>
    <x v="33"/>
    <n v="1163"/>
    <n v="1"/>
    <n v="1163"/>
    <n v="37"/>
    <x v="1"/>
    <x v="5"/>
    <x v="1"/>
    <x v="4"/>
    <x v="5"/>
    <x v="1"/>
    <x v="6"/>
    <x v="1"/>
  </r>
  <r>
    <n v="1146"/>
    <d v="2023-06-20T00:00:00"/>
    <x v="1"/>
    <x v="35"/>
    <n v="643"/>
    <n v="5"/>
    <n v="3215"/>
    <n v="42"/>
    <x v="0"/>
    <x v="6"/>
    <x v="3"/>
    <x v="0"/>
    <x v="5"/>
    <x v="0"/>
    <x v="5"/>
    <x v="1"/>
  </r>
  <r>
    <n v="1147"/>
    <d v="2023-09-17T00:00:00"/>
    <x v="1"/>
    <x v="27"/>
    <n v="911"/>
    <n v="1"/>
    <n v="911"/>
    <n v="34"/>
    <x v="0"/>
    <x v="5"/>
    <x v="0"/>
    <x v="0"/>
    <x v="5"/>
    <x v="1"/>
    <x v="1"/>
    <x v="1"/>
  </r>
  <r>
    <n v="1148"/>
    <d v="2023-11-10T00:00:00"/>
    <x v="1"/>
    <x v="35"/>
    <n v="1026"/>
    <n v="3"/>
    <n v="3078"/>
    <n v="28"/>
    <x v="0"/>
    <x v="1"/>
    <x v="1"/>
    <x v="0"/>
    <x v="0"/>
    <x v="1"/>
    <x v="10"/>
    <x v="0"/>
  </r>
  <r>
    <n v="1149"/>
    <d v="2023-08-27T00:00:00"/>
    <x v="6"/>
    <x v="8"/>
    <n v="1384"/>
    <n v="3"/>
    <n v="4152"/>
    <n v="49"/>
    <x v="1"/>
    <x v="0"/>
    <x v="0"/>
    <x v="4"/>
    <x v="5"/>
    <x v="1"/>
    <x v="7"/>
    <x v="1"/>
  </r>
  <r>
    <n v="1150"/>
    <d v="2023-05-01T00:00:00"/>
    <x v="5"/>
    <x v="17"/>
    <n v="492"/>
    <n v="4"/>
    <n v="1968"/>
    <n v="50"/>
    <x v="1"/>
    <x v="4"/>
    <x v="0"/>
    <x v="2"/>
    <x v="5"/>
    <x v="1"/>
    <x v="9"/>
    <x v="2"/>
  </r>
  <r>
    <n v="1151"/>
    <d v="2023-11-21T00:00:00"/>
    <x v="3"/>
    <x v="3"/>
    <n v="185"/>
    <n v="3"/>
    <n v="555"/>
    <n v="53"/>
    <x v="0"/>
    <x v="1"/>
    <x v="4"/>
    <x v="2"/>
    <x v="1"/>
    <x v="1"/>
    <x v="10"/>
    <x v="2"/>
  </r>
  <r>
    <n v="1152"/>
    <d v="2023-08-15T00:00:00"/>
    <x v="5"/>
    <x v="32"/>
    <n v="32"/>
    <n v="1"/>
    <n v="32"/>
    <n v="39"/>
    <x v="0"/>
    <x v="6"/>
    <x v="0"/>
    <x v="3"/>
    <x v="2"/>
    <x v="1"/>
    <x v="7"/>
    <x v="1"/>
  </r>
  <r>
    <n v="1153"/>
    <d v="2023-10-08T00:00:00"/>
    <x v="2"/>
    <x v="28"/>
    <n v="1425"/>
    <n v="1"/>
    <n v="1425"/>
    <n v="46"/>
    <x v="0"/>
    <x v="4"/>
    <x v="5"/>
    <x v="2"/>
    <x v="3"/>
    <x v="0"/>
    <x v="0"/>
    <x v="1"/>
  </r>
  <r>
    <n v="1154"/>
    <d v="2023-09-12T00:00:00"/>
    <x v="6"/>
    <x v="18"/>
    <n v="1096"/>
    <n v="2"/>
    <n v="2192"/>
    <n v="29"/>
    <x v="0"/>
    <x v="4"/>
    <x v="0"/>
    <x v="3"/>
    <x v="3"/>
    <x v="1"/>
    <x v="1"/>
    <x v="0"/>
  </r>
  <r>
    <n v="1155"/>
    <d v="2023-07-05T00:00:00"/>
    <x v="0"/>
    <x v="34"/>
    <n v="763"/>
    <n v="1"/>
    <n v="763"/>
    <n v="50"/>
    <x v="1"/>
    <x v="8"/>
    <x v="5"/>
    <x v="2"/>
    <x v="3"/>
    <x v="0"/>
    <x v="4"/>
    <x v="2"/>
  </r>
  <r>
    <n v="1156"/>
    <d v="2024-02-05T00:00:00"/>
    <x v="0"/>
    <x v="14"/>
    <n v="903"/>
    <n v="2"/>
    <n v="1806"/>
    <n v="21"/>
    <x v="1"/>
    <x v="6"/>
    <x v="1"/>
    <x v="2"/>
    <x v="5"/>
    <x v="0"/>
    <x v="6"/>
    <x v="0"/>
  </r>
  <r>
    <n v="1157"/>
    <d v="2023-02-10T00:00:00"/>
    <x v="3"/>
    <x v="26"/>
    <n v="703"/>
    <n v="2"/>
    <n v="1406"/>
    <n v="24"/>
    <x v="0"/>
    <x v="4"/>
    <x v="2"/>
    <x v="3"/>
    <x v="0"/>
    <x v="1"/>
    <x v="6"/>
    <x v="0"/>
  </r>
  <r>
    <n v="1158"/>
    <d v="2023-12-06T00:00:00"/>
    <x v="0"/>
    <x v="22"/>
    <n v="947"/>
    <n v="3"/>
    <n v="2841"/>
    <n v="52"/>
    <x v="1"/>
    <x v="9"/>
    <x v="5"/>
    <x v="3"/>
    <x v="4"/>
    <x v="1"/>
    <x v="11"/>
    <x v="2"/>
  </r>
  <r>
    <n v="1159"/>
    <d v="2023-01-06T00:00:00"/>
    <x v="1"/>
    <x v="9"/>
    <n v="1010"/>
    <n v="1"/>
    <n v="1010"/>
    <n v="27"/>
    <x v="0"/>
    <x v="5"/>
    <x v="3"/>
    <x v="1"/>
    <x v="0"/>
    <x v="1"/>
    <x v="2"/>
    <x v="0"/>
  </r>
  <r>
    <n v="1160"/>
    <d v="2023-03-05T00:00:00"/>
    <x v="2"/>
    <x v="28"/>
    <n v="1228"/>
    <n v="3"/>
    <n v="3684"/>
    <n v="20"/>
    <x v="0"/>
    <x v="8"/>
    <x v="1"/>
    <x v="4"/>
    <x v="3"/>
    <x v="1"/>
    <x v="3"/>
    <x v="0"/>
  </r>
  <r>
    <n v="1161"/>
    <d v="2023-01-23T00:00:00"/>
    <x v="0"/>
    <x v="14"/>
    <n v="439"/>
    <n v="5"/>
    <n v="2195"/>
    <n v="47"/>
    <x v="1"/>
    <x v="3"/>
    <x v="1"/>
    <x v="0"/>
    <x v="3"/>
    <x v="1"/>
    <x v="2"/>
    <x v="1"/>
  </r>
  <r>
    <n v="1162"/>
    <d v="2023-07-15T00:00:00"/>
    <x v="5"/>
    <x v="15"/>
    <n v="1302"/>
    <n v="3"/>
    <n v="3906"/>
    <n v="49"/>
    <x v="0"/>
    <x v="8"/>
    <x v="5"/>
    <x v="2"/>
    <x v="1"/>
    <x v="1"/>
    <x v="4"/>
    <x v="1"/>
  </r>
  <r>
    <n v="1163"/>
    <d v="2023-08-20T00:00:00"/>
    <x v="4"/>
    <x v="6"/>
    <n v="1194"/>
    <n v="2"/>
    <n v="2388"/>
    <n v="33"/>
    <x v="0"/>
    <x v="8"/>
    <x v="4"/>
    <x v="0"/>
    <x v="2"/>
    <x v="1"/>
    <x v="7"/>
    <x v="1"/>
  </r>
  <r>
    <n v="1164"/>
    <d v="2023-06-17T00:00:00"/>
    <x v="6"/>
    <x v="8"/>
    <n v="124"/>
    <n v="2"/>
    <n v="248"/>
    <n v="33"/>
    <x v="0"/>
    <x v="5"/>
    <x v="1"/>
    <x v="4"/>
    <x v="1"/>
    <x v="0"/>
    <x v="5"/>
    <x v="1"/>
  </r>
  <r>
    <n v="1165"/>
    <d v="2023-08-15T00:00:00"/>
    <x v="5"/>
    <x v="15"/>
    <n v="864"/>
    <n v="3"/>
    <n v="2592"/>
    <n v="47"/>
    <x v="1"/>
    <x v="0"/>
    <x v="0"/>
    <x v="1"/>
    <x v="1"/>
    <x v="1"/>
    <x v="7"/>
    <x v="1"/>
  </r>
  <r>
    <n v="1166"/>
    <d v="2023-10-17T00:00:00"/>
    <x v="0"/>
    <x v="10"/>
    <n v="1326"/>
    <n v="4"/>
    <n v="5304"/>
    <n v="37"/>
    <x v="1"/>
    <x v="3"/>
    <x v="4"/>
    <x v="3"/>
    <x v="4"/>
    <x v="1"/>
    <x v="0"/>
    <x v="1"/>
  </r>
  <r>
    <n v="1167"/>
    <d v="2023-03-30T00:00:00"/>
    <x v="2"/>
    <x v="2"/>
    <n v="183"/>
    <n v="5"/>
    <n v="915"/>
    <n v="32"/>
    <x v="1"/>
    <x v="5"/>
    <x v="5"/>
    <x v="4"/>
    <x v="3"/>
    <x v="0"/>
    <x v="3"/>
    <x v="1"/>
  </r>
  <r>
    <n v="1168"/>
    <d v="2023-12-23T00:00:00"/>
    <x v="1"/>
    <x v="9"/>
    <n v="213"/>
    <n v="4"/>
    <n v="852"/>
    <n v="23"/>
    <x v="1"/>
    <x v="9"/>
    <x v="1"/>
    <x v="3"/>
    <x v="3"/>
    <x v="1"/>
    <x v="11"/>
    <x v="0"/>
  </r>
  <r>
    <n v="1169"/>
    <d v="2023-12-24T00:00:00"/>
    <x v="1"/>
    <x v="1"/>
    <n v="284"/>
    <n v="4"/>
    <n v="1136"/>
    <n v="44"/>
    <x v="1"/>
    <x v="2"/>
    <x v="5"/>
    <x v="0"/>
    <x v="5"/>
    <x v="0"/>
    <x v="11"/>
    <x v="1"/>
  </r>
  <r>
    <n v="1170"/>
    <d v="2024-01-28T00:00:00"/>
    <x v="6"/>
    <x v="8"/>
    <n v="585"/>
    <n v="3"/>
    <n v="1755"/>
    <n v="22"/>
    <x v="1"/>
    <x v="0"/>
    <x v="3"/>
    <x v="2"/>
    <x v="4"/>
    <x v="1"/>
    <x v="2"/>
    <x v="0"/>
  </r>
  <r>
    <n v="1171"/>
    <d v="2023-03-11T00:00:00"/>
    <x v="6"/>
    <x v="8"/>
    <n v="1036"/>
    <n v="1"/>
    <n v="1036"/>
    <n v="32"/>
    <x v="1"/>
    <x v="1"/>
    <x v="5"/>
    <x v="3"/>
    <x v="5"/>
    <x v="1"/>
    <x v="3"/>
    <x v="1"/>
  </r>
  <r>
    <n v="1172"/>
    <d v="2023-05-07T00:00:00"/>
    <x v="1"/>
    <x v="27"/>
    <n v="1035"/>
    <n v="3"/>
    <n v="3105"/>
    <n v="51"/>
    <x v="0"/>
    <x v="9"/>
    <x v="4"/>
    <x v="4"/>
    <x v="5"/>
    <x v="1"/>
    <x v="9"/>
    <x v="2"/>
  </r>
  <r>
    <n v="1173"/>
    <d v="2023-08-19T00:00:00"/>
    <x v="0"/>
    <x v="14"/>
    <n v="606"/>
    <n v="4"/>
    <n v="2424"/>
    <n v="18"/>
    <x v="1"/>
    <x v="9"/>
    <x v="4"/>
    <x v="4"/>
    <x v="5"/>
    <x v="1"/>
    <x v="7"/>
    <x v="0"/>
  </r>
  <r>
    <n v="1174"/>
    <d v="2023-06-07T00:00:00"/>
    <x v="4"/>
    <x v="19"/>
    <n v="447"/>
    <n v="3"/>
    <n v="1341"/>
    <n v="19"/>
    <x v="0"/>
    <x v="8"/>
    <x v="4"/>
    <x v="1"/>
    <x v="2"/>
    <x v="0"/>
    <x v="5"/>
    <x v="0"/>
  </r>
  <r>
    <n v="1175"/>
    <d v="2023-09-26T00:00:00"/>
    <x v="4"/>
    <x v="13"/>
    <n v="350"/>
    <n v="4"/>
    <n v="1400"/>
    <n v="19"/>
    <x v="0"/>
    <x v="6"/>
    <x v="4"/>
    <x v="2"/>
    <x v="3"/>
    <x v="1"/>
    <x v="1"/>
    <x v="0"/>
  </r>
  <r>
    <n v="1176"/>
    <d v="2023-03-20T00:00:00"/>
    <x v="2"/>
    <x v="30"/>
    <n v="1352"/>
    <n v="4"/>
    <n v="5408"/>
    <n v="30"/>
    <x v="1"/>
    <x v="7"/>
    <x v="1"/>
    <x v="2"/>
    <x v="5"/>
    <x v="1"/>
    <x v="3"/>
    <x v="1"/>
  </r>
  <r>
    <n v="1177"/>
    <d v="2023-11-27T00:00:00"/>
    <x v="2"/>
    <x v="20"/>
    <n v="1432"/>
    <n v="2"/>
    <n v="2864"/>
    <n v="59"/>
    <x v="0"/>
    <x v="0"/>
    <x v="5"/>
    <x v="2"/>
    <x v="5"/>
    <x v="1"/>
    <x v="10"/>
    <x v="2"/>
  </r>
  <r>
    <n v="1178"/>
    <d v="2023-05-27T00:00:00"/>
    <x v="0"/>
    <x v="34"/>
    <n v="540"/>
    <n v="3"/>
    <n v="1620"/>
    <n v="26"/>
    <x v="1"/>
    <x v="1"/>
    <x v="2"/>
    <x v="3"/>
    <x v="3"/>
    <x v="0"/>
    <x v="9"/>
    <x v="0"/>
  </r>
  <r>
    <n v="1179"/>
    <d v="2023-01-14T00:00:00"/>
    <x v="2"/>
    <x v="30"/>
    <n v="1103"/>
    <n v="2"/>
    <n v="2206"/>
    <n v="51"/>
    <x v="0"/>
    <x v="0"/>
    <x v="0"/>
    <x v="4"/>
    <x v="0"/>
    <x v="1"/>
    <x v="2"/>
    <x v="2"/>
  </r>
  <r>
    <n v="1180"/>
    <d v="2023-06-27T00:00:00"/>
    <x v="2"/>
    <x v="5"/>
    <n v="79"/>
    <n v="3"/>
    <n v="237"/>
    <n v="28"/>
    <x v="1"/>
    <x v="8"/>
    <x v="3"/>
    <x v="4"/>
    <x v="0"/>
    <x v="1"/>
    <x v="5"/>
    <x v="0"/>
  </r>
  <r>
    <n v="1181"/>
    <d v="2023-09-18T00:00:00"/>
    <x v="1"/>
    <x v="31"/>
    <n v="1038"/>
    <n v="2"/>
    <n v="2076"/>
    <n v="20"/>
    <x v="1"/>
    <x v="1"/>
    <x v="3"/>
    <x v="3"/>
    <x v="1"/>
    <x v="1"/>
    <x v="1"/>
    <x v="0"/>
  </r>
  <r>
    <n v="1182"/>
    <d v="2023-08-18T00:00:00"/>
    <x v="3"/>
    <x v="25"/>
    <n v="287"/>
    <n v="1"/>
    <n v="287"/>
    <n v="51"/>
    <x v="0"/>
    <x v="8"/>
    <x v="1"/>
    <x v="3"/>
    <x v="0"/>
    <x v="0"/>
    <x v="7"/>
    <x v="2"/>
  </r>
  <r>
    <n v="1183"/>
    <d v="2023-01-07T00:00:00"/>
    <x v="3"/>
    <x v="25"/>
    <n v="490"/>
    <n v="3"/>
    <n v="1470"/>
    <n v="40"/>
    <x v="1"/>
    <x v="3"/>
    <x v="4"/>
    <x v="4"/>
    <x v="1"/>
    <x v="0"/>
    <x v="2"/>
    <x v="1"/>
  </r>
  <r>
    <n v="1184"/>
    <d v="2023-02-22T00:00:00"/>
    <x v="4"/>
    <x v="4"/>
    <n v="428"/>
    <n v="1"/>
    <n v="428"/>
    <n v="60"/>
    <x v="0"/>
    <x v="6"/>
    <x v="3"/>
    <x v="0"/>
    <x v="1"/>
    <x v="1"/>
    <x v="6"/>
    <x v="2"/>
  </r>
  <r>
    <n v="1185"/>
    <d v="2023-10-10T00:00:00"/>
    <x v="2"/>
    <x v="5"/>
    <n v="810"/>
    <n v="1"/>
    <n v="810"/>
    <n v="27"/>
    <x v="0"/>
    <x v="5"/>
    <x v="3"/>
    <x v="1"/>
    <x v="0"/>
    <x v="1"/>
    <x v="0"/>
    <x v="0"/>
  </r>
  <r>
    <n v="1186"/>
    <d v="2023-04-05T00:00:00"/>
    <x v="3"/>
    <x v="25"/>
    <n v="976"/>
    <n v="2"/>
    <n v="1952"/>
    <n v="31"/>
    <x v="1"/>
    <x v="2"/>
    <x v="4"/>
    <x v="0"/>
    <x v="1"/>
    <x v="0"/>
    <x v="8"/>
    <x v="1"/>
  </r>
  <r>
    <n v="1187"/>
    <d v="2023-05-31T00:00:00"/>
    <x v="5"/>
    <x v="15"/>
    <n v="971"/>
    <n v="4"/>
    <n v="3884"/>
    <n v="27"/>
    <x v="1"/>
    <x v="5"/>
    <x v="0"/>
    <x v="4"/>
    <x v="1"/>
    <x v="1"/>
    <x v="9"/>
    <x v="0"/>
  </r>
  <r>
    <n v="1188"/>
    <d v="2023-02-03T00:00:00"/>
    <x v="1"/>
    <x v="1"/>
    <n v="1231"/>
    <n v="4"/>
    <n v="4924"/>
    <n v="59"/>
    <x v="0"/>
    <x v="4"/>
    <x v="3"/>
    <x v="3"/>
    <x v="1"/>
    <x v="1"/>
    <x v="6"/>
    <x v="2"/>
  </r>
  <r>
    <n v="1189"/>
    <d v="2023-06-23T00:00:00"/>
    <x v="0"/>
    <x v="22"/>
    <n v="1419"/>
    <n v="1"/>
    <n v="1419"/>
    <n v="37"/>
    <x v="0"/>
    <x v="2"/>
    <x v="0"/>
    <x v="2"/>
    <x v="0"/>
    <x v="0"/>
    <x v="5"/>
    <x v="1"/>
  </r>
  <r>
    <n v="1190"/>
    <d v="2023-11-23T00:00:00"/>
    <x v="5"/>
    <x v="7"/>
    <n v="1199"/>
    <n v="5"/>
    <n v="5995"/>
    <n v="58"/>
    <x v="1"/>
    <x v="0"/>
    <x v="3"/>
    <x v="3"/>
    <x v="5"/>
    <x v="1"/>
    <x v="10"/>
    <x v="2"/>
  </r>
  <r>
    <n v="1191"/>
    <d v="2024-01-02T00:00:00"/>
    <x v="2"/>
    <x v="20"/>
    <n v="937"/>
    <n v="3"/>
    <n v="2811"/>
    <n v="23"/>
    <x v="0"/>
    <x v="3"/>
    <x v="0"/>
    <x v="1"/>
    <x v="1"/>
    <x v="0"/>
    <x v="2"/>
    <x v="0"/>
  </r>
  <r>
    <n v="1192"/>
    <d v="2023-01-21T00:00:00"/>
    <x v="0"/>
    <x v="22"/>
    <n v="1073"/>
    <n v="5"/>
    <n v="5365"/>
    <n v="53"/>
    <x v="0"/>
    <x v="3"/>
    <x v="1"/>
    <x v="4"/>
    <x v="3"/>
    <x v="0"/>
    <x v="2"/>
    <x v="2"/>
  </r>
  <r>
    <n v="1193"/>
    <d v="2023-06-22T00:00:00"/>
    <x v="1"/>
    <x v="1"/>
    <n v="456"/>
    <n v="1"/>
    <n v="456"/>
    <n v="41"/>
    <x v="0"/>
    <x v="6"/>
    <x v="1"/>
    <x v="4"/>
    <x v="5"/>
    <x v="1"/>
    <x v="5"/>
    <x v="1"/>
  </r>
  <r>
    <n v="1194"/>
    <d v="2023-08-21T00:00:00"/>
    <x v="0"/>
    <x v="10"/>
    <n v="419"/>
    <n v="4"/>
    <n v="1676"/>
    <n v="50"/>
    <x v="1"/>
    <x v="9"/>
    <x v="3"/>
    <x v="4"/>
    <x v="3"/>
    <x v="1"/>
    <x v="7"/>
    <x v="2"/>
  </r>
  <r>
    <n v="1195"/>
    <d v="2023-07-17T00:00:00"/>
    <x v="3"/>
    <x v="3"/>
    <n v="601"/>
    <n v="4"/>
    <n v="2404"/>
    <n v="44"/>
    <x v="1"/>
    <x v="1"/>
    <x v="2"/>
    <x v="4"/>
    <x v="0"/>
    <x v="1"/>
    <x v="4"/>
    <x v="1"/>
  </r>
  <r>
    <n v="1196"/>
    <d v="2023-09-24T00:00:00"/>
    <x v="2"/>
    <x v="28"/>
    <n v="1350"/>
    <n v="4"/>
    <n v="5400"/>
    <n v="25"/>
    <x v="1"/>
    <x v="3"/>
    <x v="5"/>
    <x v="0"/>
    <x v="4"/>
    <x v="1"/>
    <x v="1"/>
    <x v="0"/>
  </r>
  <r>
    <n v="1197"/>
    <d v="2023-12-31T00:00:00"/>
    <x v="1"/>
    <x v="31"/>
    <n v="511"/>
    <n v="4"/>
    <n v="2044"/>
    <n v="53"/>
    <x v="0"/>
    <x v="8"/>
    <x v="5"/>
    <x v="0"/>
    <x v="1"/>
    <x v="0"/>
    <x v="11"/>
    <x v="2"/>
  </r>
  <r>
    <n v="1198"/>
    <d v="2024-01-23T00:00:00"/>
    <x v="2"/>
    <x v="2"/>
    <n v="776"/>
    <n v="1"/>
    <n v="776"/>
    <n v="18"/>
    <x v="1"/>
    <x v="4"/>
    <x v="0"/>
    <x v="0"/>
    <x v="0"/>
    <x v="0"/>
    <x v="2"/>
    <x v="0"/>
  </r>
  <r>
    <n v="1199"/>
    <d v="2023-11-07T00:00:00"/>
    <x v="6"/>
    <x v="33"/>
    <n v="947"/>
    <n v="2"/>
    <n v="1894"/>
    <n v="40"/>
    <x v="1"/>
    <x v="3"/>
    <x v="2"/>
    <x v="1"/>
    <x v="2"/>
    <x v="1"/>
    <x v="10"/>
    <x v="1"/>
  </r>
  <r>
    <n v="1200"/>
    <d v="2023-11-12T00:00:00"/>
    <x v="0"/>
    <x v="10"/>
    <n v="464"/>
    <n v="1"/>
    <n v="464"/>
    <n v="60"/>
    <x v="0"/>
    <x v="9"/>
    <x v="4"/>
    <x v="2"/>
    <x v="1"/>
    <x v="1"/>
    <x v="10"/>
    <x v="2"/>
  </r>
  <r>
    <n v="1201"/>
    <d v="2023-04-03T00:00:00"/>
    <x v="4"/>
    <x v="4"/>
    <n v="547"/>
    <n v="1"/>
    <n v="547"/>
    <n v="25"/>
    <x v="1"/>
    <x v="3"/>
    <x v="0"/>
    <x v="3"/>
    <x v="2"/>
    <x v="1"/>
    <x v="8"/>
    <x v="0"/>
  </r>
  <r>
    <n v="1202"/>
    <d v="2023-01-17T00:00:00"/>
    <x v="2"/>
    <x v="28"/>
    <n v="871"/>
    <n v="1"/>
    <n v="871"/>
    <n v="51"/>
    <x v="0"/>
    <x v="0"/>
    <x v="5"/>
    <x v="0"/>
    <x v="3"/>
    <x v="1"/>
    <x v="2"/>
    <x v="2"/>
  </r>
  <r>
    <n v="1203"/>
    <d v="2023-01-11T00:00:00"/>
    <x v="6"/>
    <x v="24"/>
    <n v="960"/>
    <n v="2"/>
    <n v="1920"/>
    <n v="34"/>
    <x v="0"/>
    <x v="8"/>
    <x v="3"/>
    <x v="0"/>
    <x v="4"/>
    <x v="1"/>
    <x v="2"/>
    <x v="1"/>
  </r>
  <r>
    <n v="1204"/>
    <d v="2023-02-27T00:00:00"/>
    <x v="4"/>
    <x v="13"/>
    <n v="360"/>
    <n v="2"/>
    <n v="720"/>
    <n v="23"/>
    <x v="0"/>
    <x v="7"/>
    <x v="3"/>
    <x v="2"/>
    <x v="4"/>
    <x v="1"/>
    <x v="6"/>
    <x v="0"/>
  </r>
  <r>
    <n v="1205"/>
    <d v="2023-05-05T00:00:00"/>
    <x v="3"/>
    <x v="21"/>
    <n v="543"/>
    <n v="1"/>
    <n v="543"/>
    <n v="33"/>
    <x v="1"/>
    <x v="1"/>
    <x v="1"/>
    <x v="2"/>
    <x v="1"/>
    <x v="1"/>
    <x v="9"/>
    <x v="1"/>
  </r>
  <r>
    <n v="1206"/>
    <d v="2023-05-19T00:00:00"/>
    <x v="5"/>
    <x v="7"/>
    <n v="1443"/>
    <n v="2"/>
    <n v="2886"/>
    <n v="59"/>
    <x v="1"/>
    <x v="6"/>
    <x v="1"/>
    <x v="3"/>
    <x v="3"/>
    <x v="0"/>
    <x v="9"/>
    <x v="2"/>
  </r>
  <r>
    <n v="1207"/>
    <d v="2023-11-17T00:00:00"/>
    <x v="0"/>
    <x v="10"/>
    <n v="926"/>
    <n v="4"/>
    <n v="3704"/>
    <n v="49"/>
    <x v="1"/>
    <x v="9"/>
    <x v="1"/>
    <x v="1"/>
    <x v="5"/>
    <x v="1"/>
    <x v="10"/>
    <x v="1"/>
  </r>
  <r>
    <n v="1208"/>
    <d v="2023-12-03T00:00:00"/>
    <x v="2"/>
    <x v="5"/>
    <n v="653"/>
    <n v="2"/>
    <n v="1306"/>
    <n v="20"/>
    <x v="0"/>
    <x v="4"/>
    <x v="0"/>
    <x v="0"/>
    <x v="0"/>
    <x v="0"/>
    <x v="11"/>
    <x v="0"/>
  </r>
  <r>
    <n v="1209"/>
    <d v="2023-02-07T00:00:00"/>
    <x v="6"/>
    <x v="18"/>
    <n v="1367"/>
    <n v="4"/>
    <n v="5468"/>
    <n v="30"/>
    <x v="1"/>
    <x v="7"/>
    <x v="2"/>
    <x v="2"/>
    <x v="0"/>
    <x v="1"/>
    <x v="6"/>
    <x v="1"/>
  </r>
  <r>
    <n v="1210"/>
    <d v="2023-12-09T00:00:00"/>
    <x v="2"/>
    <x v="5"/>
    <n v="1107"/>
    <n v="1"/>
    <n v="1107"/>
    <n v="53"/>
    <x v="1"/>
    <x v="6"/>
    <x v="4"/>
    <x v="1"/>
    <x v="4"/>
    <x v="0"/>
    <x v="11"/>
    <x v="2"/>
  </r>
  <r>
    <n v="1211"/>
    <d v="2023-02-17T00:00:00"/>
    <x v="1"/>
    <x v="35"/>
    <n v="426"/>
    <n v="4"/>
    <n v="1704"/>
    <n v="24"/>
    <x v="0"/>
    <x v="2"/>
    <x v="4"/>
    <x v="0"/>
    <x v="5"/>
    <x v="0"/>
    <x v="6"/>
    <x v="0"/>
  </r>
  <r>
    <n v="1212"/>
    <d v="2023-12-16T00:00:00"/>
    <x v="0"/>
    <x v="22"/>
    <n v="454"/>
    <n v="5"/>
    <n v="2270"/>
    <n v="54"/>
    <x v="0"/>
    <x v="7"/>
    <x v="0"/>
    <x v="0"/>
    <x v="0"/>
    <x v="0"/>
    <x v="11"/>
    <x v="2"/>
  </r>
  <r>
    <n v="1213"/>
    <d v="2023-07-09T00:00:00"/>
    <x v="3"/>
    <x v="21"/>
    <n v="165"/>
    <n v="2"/>
    <n v="330"/>
    <n v="33"/>
    <x v="1"/>
    <x v="6"/>
    <x v="0"/>
    <x v="3"/>
    <x v="0"/>
    <x v="1"/>
    <x v="4"/>
    <x v="1"/>
  </r>
  <r>
    <n v="1214"/>
    <d v="2023-03-18T00:00:00"/>
    <x v="2"/>
    <x v="20"/>
    <n v="985"/>
    <n v="3"/>
    <n v="2955"/>
    <n v="21"/>
    <x v="1"/>
    <x v="1"/>
    <x v="3"/>
    <x v="0"/>
    <x v="3"/>
    <x v="0"/>
    <x v="3"/>
    <x v="0"/>
  </r>
  <r>
    <n v="1215"/>
    <d v="2023-01-15T00:00:00"/>
    <x v="2"/>
    <x v="5"/>
    <n v="487"/>
    <n v="5"/>
    <n v="2435"/>
    <n v="33"/>
    <x v="1"/>
    <x v="5"/>
    <x v="4"/>
    <x v="3"/>
    <x v="2"/>
    <x v="1"/>
    <x v="2"/>
    <x v="1"/>
  </r>
  <r>
    <n v="1216"/>
    <d v="2024-01-08T00:00:00"/>
    <x v="1"/>
    <x v="1"/>
    <n v="283"/>
    <n v="4"/>
    <n v="1132"/>
    <n v="32"/>
    <x v="1"/>
    <x v="9"/>
    <x v="2"/>
    <x v="4"/>
    <x v="4"/>
    <x v="1"/>
    <x v="2"/>
    <x v="1"/>
  </r>
  <r>
    <n v="1217"/>
    <d v="2023-08-10T00:00:00"/>
    <x v="5"/>
    <x v="11"/>
    <n v="752"/>
    <n v="5"/>
    <n v="3760"/>
    <n v="35"/>
    <x v="1"/>
    <x v="7"/>
    <x v="3"/>
    <x v="0"/>
    <x v="0"/>
    <x v="0"/>
    <x v="7"/>
    <x v="1"/>
  </r>
  <r>
    <n v="1218"/>
    <d v="2023-03-14T00:00:00"/>
    <x v="4"/>
    <x v="13"/>
    <n v="761"/>
    <n v="3"/>
    <n v="2283"/>
    <n v="41"/>
    <x v="1"/>
    <x v="4"/>
    <x v="1"/>
    <x v="2"/>
    <x v="2"/>
    <x v="0"/>
    <x v="3"/>
    <x v="1"/>
  </r>
  <r>
    <n v="1219"/>
    <d v="2023-11-09T00:00:00"/>
    <x v="6"/>
    <x v="18"/>
    <n v="1306"/>
    <n v="4"/>
    <n v="5224"/>
    <n v="44"/>
    <x v="1"/>
    <x v="3"/>
    <x v="4"/>
    <x v="2"/>
    <x v="2"/>
    <x v="0"/>
    <x v="10"/>
    <x v="1"/>
  </r>
  <r>
    <n v="1220"/>
    <d v="2023-04-25T00:00:00"/>
    <x v="6"/>
    <x v="18"/>
    <n v="991"/>
    <n v="3"/>
    <n v="2973"/>
    <n v="41"/>
    <x v="1"/>
    <x v="2"/>
    <x v="5"/>
    <x v="4"/>
    <x v="2"/>
    <x v="0"/>
    <x v="8"/>
    <x v="1"/>
  </r>
  <r>
    <n v="1221"/>
    <d v="2023-07-12T00:00:00"/>
    <x v="6"/>
    <x v="24"/>
    <n v="484"/>
    <n v="1"/>
    <n v="484"/>
    <n v="43"/>
    <x v="0"/>
    <x v="7"/>
    <x v="0"/>
    <x v="2"/>
    <x v="1"/>
    <x v="0"/>
    <x v="4"/>
    <x v="1"/>
  </r>
  <r>
    <n v="1222"/>
    <d v="2023-06-04T00:00:00"/>
    <x v="3"/>
    <x v="25"/>
    <n v="1393"/>
    <n v="2"/>
    <n v="2786"/>
    <n v="45"/>
    <x v="1"/>
    <x v="7"/>
    <x v="2"/>
    <x v="4"/>
    <x v="4"/>
    <x v="1"/>
    <x v="5"/>
    <x v="1"/>
  </r>
  <r>
    <n v="1223"/>
    <d v="2023-06-13T00:00:00"/>
    <x v="6"/>
    <x v="18"/>
    <n v="423"/>
    <n v="2"/>
    <n v="846"/>
    <n v="42"/>
    <x v="1"/>
    <x v="3"/>
    <x v="0"/>
    <x v="4"/>
    <x v="4"/>
    <x v="0"/>
    <x v="5"/>
    <x v="1"/>
  </r>
  <r>
    <n v="1224"/>
    <d v="2023-09-22T00:00:00"/>
    <x v="2"/>
    <x v="2"/>
    <n v="1024"/>
    <n v="4"/>
    <n v="4096"/>
    <n v="44"/>
    <x v="1"/>
    <x v="1"/>
    <x v="0"/>
    <x v="4"/>
    <x v="4"/>
    <x v="0"/>
    <x v="1"/>
    <x v="1"/>
  </r>
  <r>
    <n v="1225"/>
    <d v="2023-01-27T00:00:00"/>
    <x v="0"/>
    <x v="14"/>
    <n v="259"/>
    <n v="4"/>
    <n v="1036"/>
    <n v="55"/>
    <x v="1"/>
    <x v="2"/>
    <x v="3"/>
    <x v="3"/>
    <x v="3"/>
    <x v="1"/>
    <x v="2"/>
    <x v="2"/>
  </r>
  <r>
    <n v="1226"/>
    <d v="2023-05-10T00:00:00"/>
    <x v="3"/>
    <x v="26"/>
    <n v="1491"/>
    <n v="1"/>
    <n v="1491"/>
    <n v="56"/>
    <x v="1"/>
    <x v="0"/>
    <x v="5"/>
    <x v="3"/>
    <x v="4"/>
    <x v="0"/>
    <x v="9"/>
    <x v="2"/>
  </r>
  <r>
    <n v="1227"/>
    <d v="2023-09-01T00:00:00"/>
    <x v="4"/>
    <x v="6"/>
    <n v="1414"/>
    <n v="1"/>
    <n v="1414"/>
    <n v="46"/>
    <x v="0"/>
    <x v="5"/>
    <x v="2"/>
    <x v="4"/>
    <x v="0"/>
    <x v="0"/>
    <x v="1"/>
    <x v="1"/>
  </r>
  <r>
    <n v="1228"/>
    <d v="2023-03-02T00:00:00"/>
    <x v="2"/>
    <x v="30"/>
    <n v="965"/>
    <n v="5"/>
    <n v="4825"/>
    <n v="34"/>
    <x v="1"/>
    <x v="7"/>
    <x v="2"/>
    <x v="3"/>
    <x v="1"/>
    <x v="0"/>
    <x v="3"/>
    <x v="1"/>
  </r>
  <r>
    <n v="1229"/>
    <d v="2024-01-04T00:00:00"/>
    <x v="5"/>
    <x v="7"/>
    <n v="1356"/>
    <n v="2"/>
    <n v="2712"/>
    <n v="33"/>
    <x v="0"/>
    <x v="0"/>
    <x v="4"/>
    <x v="2"/>
    <x v="0"/>
    <x v="0"/>
    <x v="2"/>
    <x v="1"/>
  </r>
  <r>
    <n v="1230"/>
    <d v="2023-12-09T00:00:00"/>
    <x v="1"/>
    <x v="1"/>
    <n v="806"/>
    <n v="2"/>
    <n v="1612"/>
    <n v="48"/>
    <x v="0"/>
    <x v="2"/>
    <x v="2"/>
    <x v="3"/>
    <x v="1"/>
    <x v="0"/>
    <x v="11"/>
    <x v="1"/>
  </r>
  <r>
    <n v="1231"/>
    <d v="2023-06-02T00:00:00"/>
    <x v="5"/>
    <x v="7"/>
    <n v="527"/>
    <n v="3"/>
    <n v="1581"/>
    <n v="57"/>
    <x v="1"/>
    <x v="8"/>
    <x v="4"/>
    <x v="2"/>
    <x v="0"/>
    <x v="1"/>
    <x v="5"/>
    <x v="2"/>
  </r>
  <r>
    <n v="1232"/>
    <d v="2024-02-01T00:00:00"/>
    <x v="3"/>
    <x v="21"/>
    <n v="865"/>
    <n v="1"/>
    <n v="865"/>
    <n v="54"/>
    <x v="1"/>
    <x v="8"/>
    <x v="2"/>
    <x v="2"/>
    <x v="0"/>
    <x v="0"/>
    <x v="6"/>
    <x v="2"/>
  </r>
  <r>
    <n v="1233"/>
    <d v="2023-09-12T00:00:00"/>
    <x v="2"/>
    <x v="5"/>
    <n v="1051"/>
    <n v="1"/>
    <n v="1051"/>
    <n v="28"/>
    <x v="0"/>
    <x v="4"/>
    <x v="1"/>
    <x v="1"/>
    <x v="4"/>
    <x v="0"/>
    <x v="1"/>
    <x v="0"/>
  </r>
  <r>
    <n v="1234"/>
    <d v="2023-03-05T00:00:00"/>
    <x v="6"/>
    <x v="16"/>
    <n v="1144"/>
    <n v="3"/>
    <n v="3432"/>
    <n v="27"/>
    <x v="0"/>
    <x v="5"/>
    <x v="1"/>
    <x v="2"/>
    <x v="2"/>
    <x v="1"/>
    <x v="3"/>
    <x v="0"/>
  </r>
  <r>
    <n v="1235"/>
    <d v="2023-08-06T00:00:00"/>
    <x v="5"/>
    <x v="15"/>
    <n v="1160"/>
    <n v="4"/>
    <n v="4640"/>
    <n v="44"/>
    <x v="0"/>
    <x v="6"/>
    <x v="2"/>
    <x v="1"/>
    <x v="0"/>
    <x v="0"/>
    <x v="7"/>
    <x v="1"/>
  </r>
  <r>
    <n v="1236"/>
    <d v="2023-04-08T00:00:00"/>
    <x v="3"/>
    <x v="23"/>
    <n v="483"/>
    <n v="1"/>
    <n v="483"/>
    <n v="40"/>
    <x v="0"/>
    <x v="4"/>
    <x v="1"/>
    <x v="4"/>
    <x v="0"/>
    <x v="0"/>
    <x v="8"/>
    <x v="1"/>
  </r>
  <r>
    <n v="1237"/>
    <d v="2023-09-27T00:00:00"/>
    <x v="3"/>
    <x v="21"/>
    <n v="962"/>
    <n v="3"/>
    <n v="2886"/>
    <n v="43"/>
    <x v="0"/>
    <x v="8"/>
    <x v="4"/>
    <x v="3"/>
    <x v="0"/>
    <x v="0"/>
    <x v="1"/>
    <x v="1"/>
  </r>
  <r>
    <n v="1238"/>
    <d v="2023-02-28T00:00:00"/>
    <x v="5"/>
    <x v="15"/>
    <n v="80"/>
    <n v="1"/>
    <n v="80"/>
    <n v="28"/>
    <x v="1"/>
    <x v="1"/>
    <x v="5"/>
    <x v="3"/>
    <x v="1"/>
    <x v="0"/>
    <x v="6"/>
    <x v="0"/>
  </r>
  <r>
    <n v="1239"/>
    <d v="2023-09-11T00:00:00"/>
    <x v="2"/>
    <x v="28"/>
    <n v="837"/>
    <n v="2"/>
    <n v="1674"/>
    <n v="59"/>
    <x v="1"/>
    <x v="4"/>
    <x v="1"/>
    <x v="4"/>
    <x v="1"/>
    <x v="0"/>
    <x v="1"/>
    <x v="2"/>
  </r>
  <r>
    <n v="1240"/>
    <d v="2023-07-27T00:00:00"/>
    <x v="6"/>
    <x v="16"/>
    <n v="209"/>
    <n v="1"/>
    <n v="209"/>
    <n v="27"/>
    <x v="0"/>
    <x v="1"/>
    <x v="3"/>
    <x v="1"/>
    <x v="5"/>
    <x v="1"/>
    <x v="4"/>
    <x v="0"/>
  </r>
  <r>
    <n v="1241"/>
    <d v="2023-05-11T00:00:00"/>
    <x v="5"/>
    <x v="15"/>
    <n v="586"/>
    <n v="3"/>
    <n v="1758"/>
    <n v="41"/>
    <x v="0"/>
    <x v="6"/>
    <x v="4"/>
    <x v="3"/>
    <x v="1"/>
    <x v="0"/>
    <x v="9"/>
    <x v="1"/>
  </r>
  <r>
    <n v="1242"/>
    <d v="2024-01-25T00:00:00"/>
    <x v="0"/>
    <x v="12"/>
    <n v="1080"/>
    <n v="3"/>
    <n v="3240"/>
    <n v="51"/>
    <x v="0"/>
    <x v="5"/>
    <x v="0"/>
    <x v="4"/>
    <x v="2"/>
    <x v="0"/>
    <x v="2"/>
    <x v="2"/>
  </r>
  <r>
    <n v="1243"/>
    <d v="2023-09-16T00:00:00"/>
    <x v="0"/>
    <x v="14"/>
    <n v="1201"/>
    <n v="3"/>
    <n v="3603"/>
    <n v="27"/>
    <x v="0"/>
    <x v="9"/>
    <x v="2"/>
    <x v="3"/>
    <x v="2"/>
    <x v="1"/>
    <x v="1"/>
    <x v="0"/>
  </r>
  <r>
    <n v="1244"/>
    <d v="2023-03-06T00:00:00"/>
    <x v="6"/>
    <x v="18"/>
    <n v="630"/>
    <n v="1"/>
    <n v="630"/>
    <n v="42"/>
    <x v="0"/>
    <x v="1"/>
    <x v="2"/>
    <x v="1"/>
    <x v="3"/>
    <x v="1"/>
    <x v="3"/>
    <x v="1"/>
  </r>
  <r>
    <n v="1245"/>
    <d v="2023-06-15T00:00:00"/>
    <x v="0"/>
    <x v="10"/>
    <n v="1245"/>
    <n v="4"/>
    <n v="4980"/>
    <n v="49"/>
    <x v="0"/>
    <x v="3"/>
    <x v="2"/>
    <x v="2"/>
    <x v="0"/>
    <x v="1"/>
    <x v="5"/>
    <x v="1"/>
  </r>
  <r>
    <n v="1246"/>
    <d v="2023-09-20T00:00:00"/>
    <x v="0"/>
    <x v="34"/>
    <n v="330"/>
    <n v="3"/>
    <n v="990"/>
    <n v="51"/>
    <x v="0"/>
    <x v="1"/>
    <x v="3"/>
    <x v="0"/>
    <x v="0"/>
    <x v="1"/>
    <x v="1"/>
    <x v="2"/>
  </r>
  <r>
    <n v="1247"/>
    <d v="2023-11-06T00:00:00"/>
    <x v="0"/>
    <x v="22"/>
    <n v="682"/>
    <n v="4"/>
    <n v="2728"/>
    <n v="24"/>
    <x v="1"/>
    <x v="9"/>
    <x v="2"/>
    <x v="4"/>
    <x v="1"/>
    <x v="1"/>
    <x v="10"/>
    <x v="0"/>
  </r>
  <r>
    <n v="1248"/>
    <d v="2024-01-14T00:00:00"/>
    <x v="4"/>
    <x v="29"/>
    <n v="992"/>
    <n v="4"/>
    <n v="3968"/>
    <n v="19"/>
    <x v="0"/>
    <x v="1"/>
    <x v="1"/>
    <x v="1"/>
    <x v="1"/>
    <x v="1"/>
    <x v="2"/>
    <x v="0"/>
  </r>
  <r>
    <n v="1249"/>
    <d v="2023-06-17T00:00:00"/>
    <x v="0"/>
    <x v="34"/>
    <n v="839"/>
    <n v="4"/>
    <n v="3356"/>
    <n v="50"/>
    <x v="0"/>
    <x v="8"/>
    <x v="5"/>
    <x v="1"/>
    <x v="2"/>
    <x v="0"/>
    <x v="5"/>
    <x v="2"/>
  </r>
  <r>
    <n v="1250"/>
    <d v="2023-04-29T00:00:00"/>
    <x v="2"/>
    <x v="5"/>
    <n v="436"/>
    <n v="2"/>
    <n v="872"/>
    <n v="26"/>
    <x v="1"/>
    <x v="5"/>
    <x v="4"/>
    <x v="3"/>
    <x v="5"/>
    <x v="1"/>
    <x v="8"/>
    <x v="0"/>
  </r>
  <r>
    <n v="1251"/>
    <d v="2023-10-10T00:00:00"/>
    <x v="4"/>
    <x v="13"/>
    <n v="896"/>
    <n v="3"/>
    <n v="2688"/>
    <n v="38"/>
    <x v="1"/>
    <x v="2"/>
    <x v="5"/>
    <x v="2"/>
    <x v="0"/>
    <x v="0"/>
    <x v="0"/>
    <x v="1"/>
  </r>
  <r>
    <n v="1252"/>
    <d v="2023-05-29T00:00:00"/>
    <x v="4"/>
    <x v="19"/>
    <n v="651"/>
    <n v="3"/>
    <n v="1953"/>
    <n v="53"/>
    <x v="1"/>
    <x v="7"/>
    <x v="3"/>
    <x v="1"/>
    <x v="4"/>
    <x v="1"/>
    <x v="9"/>
    <x v="2"/>
  </r>
  <r>
    <n v="1253"/>
    <d v="2023-11-18T00:00:00"/>
    <x v="5"/>
    <x v="32"/>
    <n v="119"/>
    <n v="1"/>
    <n v="119"/>
    <n v="49"/>
    <x v="0"/>
    <x v="0"/>
    <x v="5"/>
    <x v="3"/>
    <x v="3"/>
    <x v="0"/>
    <x v="10"/>
    <x v="1"/>
  </r>
  <r>
    <n v="1254"/>
    <d v="2023-08-26T00:00:00"/>
    <x v="3"/>
    <x v="3"/>
    <n v="916"/>
    <n v="1"/>
    <n v="916"/>
    <n v="54"/>
    <x v="1"/>
    <x v="8"/>
    <x v="3"/>
    <x v="1"/>
    <x v="3"/>
    <x v="1"/>
    <x v="7"/>
    <x v="2"/>
  </r>
  <r>
    <n v="1255"/>
    <d v="2023-08-26T00:00:00"/>
    <x v="3"/>
    <x v="23"/>
    <n v="456"/>
    <n v="3"/>
    <n v="1368"/>
    <n v="45"/>
    <x v="1"/>
    <x v="8"/>
    <x v="1"/>
    <x v="3"/>
    <x v="1"/>
    <x v="0"/>
    <x v="7"/>
    <x v="1"/>
  </r>
  <r>
    <n v="1256"/>
    <d v="2023-08-18T00:00:00"/>
    <x v="4"/>
    <x v="19"/>
    <n v="740"/>
    <n v="3"/>
    <n v="2220"/>
    <n v="48"/>
    <x v="1"/>
    <x v="3"/>
    <x v="5"/>
    <x v="1"/>
    <x v="1"/>
    <x v="0"/>
    <x v="7"/>
    <x v="1"/>
  </r>
  <r>
    <n v="1257"/>
    <d v="2024-01-10T00:00:00"/>
    <x v="5"/>
    <x v="32"/>
    <n v="905"/>
    <n v="2"/>
    <n v="1810"/>
    <n v="37"/>
    <x v="1"/>
    <x v="8"/>
    <x v="1"/>
    <x v="4"/>
    <x v="3"/>
    <x v="1"/>
    <x v="2"/>
    <x v="1"/>
  </r>
  <r>
    <n v="1258"/>
    <d v="2023-08-21T00:00:00"/>
    <x v="4"/>
    <x v="4"/>
    <n v="1130"/>
    <n v="2"/>
    <n v="2260"/>
    <n v="45"/>
    <x v="0"/>
    <x v="0"/>
    <x v="1"/>
    <x v="2"/>
    <x v="5"/>
    <x v="1"/>
    <x v="7"/>
    <x v="1"/>
  </r>
  <r>
    <n v="1259"/>
    <d v="2024-02-05T00:00:00"/>
    <x v="6"/>
    <x v="18"/>
    <n v="1444"/>
    <n v="2"/>
    <n v="2888"/>
    <n v="19"/>
    <x v="0"/>
    <x v="5"/>
    <x v="1"/>
    <x v="1"/>
    <x v="4"/>
    <x v="1"/>
    <x v="6"/>
    <x v="0"/>
  </r>
  <r>
    <n v="1260"/>
    <d v="2023-10-03T00:00:00"/>
    <x v="0"/>
    <x v="12"/>
    <n v="773"/>
    <n v="1"/>
    <n v="773"/>
    <n v="52"/>
    <x v="1"/>
    <x v="1"/>
    <x v="1"/>
    <x v="2"/>
    <x v="3"/>
    <x v="1"/>
    <x v="0"/>
    <x v="2"/>
  </r>
  <r>
    <n v="1261"/>
    <d v="2023-02-21T00:00:00"/>
    <x v="3"/>
    <x v="26"/>
    <n v="133"/>
    <n v="2"/>
    <n v="266"/>
    <n v="39"/>
    <x v="1"/>
    <x v="4"/>
    <x v="3"/>
    <x v="3"/>
    <x v="5"/>
    <x v="1"/>
    <x v="6"/>
    <x v="1"/>
  </r>
  <r>
    <n v="1262"/>
    <d v="2023-08-08T00:00:00"/>
    <x v="5"/>
    <x v="7"/>
    <n v="1098"/>
    <n v="3"/>
    <n v="3294"/>
    <n v="30"/>
    <x v="1"/>
    <x v="7"/>
    <x v="4"/>
    <x v="4"/>
    <x v="3"/>
    <x v="0"/>
    <x v="7"/>
    <x v="1"/>
  </r>
  <r>
    <n v="1263"/>
    <d v="2023-08-11T00:00:00"/>
    <x v="4"/>
    <x v="6"/>
    <n v="1102"/>
    <n v="1"/>
    <n v="1102"/>
    <n v="59"/>
    <x v="1"/>
    <x v="9"/>
    <x v="5"/>
    <x v="3"/>
    <x v="0"/>
    <x v="0"/>
    <x v="7"/>
    <x v="2"/>
  </r>
  <r>
    <n v="1264"/>
    <d v="2023-01-29T00:00:00"/>
    <x v="4"/>
    <x v="6"/>
    <n v="548"/>
    <n v="4"/>
    <n v="2192"/>
    <n v="55"/>
    <x v="1"/>
    <x v="6"/>
    <x v="2"/>
    <x v="1"/>
    <x v="1"/>
    <x v="1"/>
    <x v="2"/>
    <x v="2"/>
  </r>
  <r>
    <n v="1265"/>
    <d v="2023-04-05T00:00:00"/>
    <x v="1"/>
    <x v="27"/>
    <n v="228"/>
    <n v="4"/>
    <n v="912"/>
    <n v="45"/>
    <x v="0"/>
    <x v="9"/>
    <x v="5"/>
    <x v="2"/>
    <x v="2"/>
    <x v="0"/>
    <x v="8"/>
    <x v="1"/>
  </r>
  <r>
    <n v="1266"/>
    <d v="2023-09-11T00:00:00"/>
    <x v="1"/>
    <x v="1"/>
    <n v="396"/>
    <n v="4"/>
    <n v="1584"/>
    <n v="40"/>
    <x v="0"/>
    <x v="3"/>
    <x v="1"/>
    <x v="2"/>
    <x v="5"/>
    <x v="1"/>
    <x v="1"/>
    <x v="1"/>
  </r>
  <r>
    <n v="1267"/>
    <d v="2023-11-09T00:00:00"/>
    <x v="1"/>
    <x v="1"/>
    <n v="619"/>
    <n v="2"/>
    <n v="1238"/>
    <n v="34"/>
    <x v="1"/>
    <x v="0"/>
    <x v="4"/>
    <x v="0"/>
    <x v="5"/>
    <x v="1"/>
    <x v="10"/>
    <x v="1"/>
  </r>
  <r>
    <n v="1268"/>
    <d v="2023-10-05T00:00:00"/>
    <x v="6"/>
    <x v="33"/>
    <n v="745"/>
    <n v="4"/>
    <n v="2980"/>
    <n v="28"/>
    <x v="0"/>
    <x v="6"/>
    <x v="1"/>
    <x v="1"/>
    <x v="2"/>
    <x v="0"/>
    <x v="0"/>
    <x v="0"/>
  </r>
  <r>
    <n v="1269"/>
    <d v="2023-10-26T00:00:00"/>
    <x v="0"/>
    <x v="12"/>
    <n v="346"/>
    <n v="3"/>
    <n v="1038"/>
    <n v="40"/>
    <x v="0"/>
    <x v="3"/>
    <x v="2"/>
    <x v="4"/>
    <x v="1"/>
    <x v="1"/>
    <x v="0"/>
    <x v="1"/>
  </r>
  <r>
    <n v="1270"/>
    <d v="2023-12-29T00:00:00"/>
    <x v="0"/>
    <x v="22"/>
    <n v="181"/>
    <n v="1"/>
    <n v="181"/>
    <n v="32"/>
    <x v="0"/>
    <x v="2"/>
    <x v="1"/>
    <x v="3"/>
    <x v="1"/>
    <x v="1"/>
    <x v="11"/>
    <x v="1"/>
  </r>
  <r>
    <n v="1271"/>
    <d v="2024-01-11T00:00:00"/>
    <x v="3"/>
    <x v="26"/>
    <n v="746"/>
    <n v="4"/>
    <n v="2984"/>
    <n v="55"/>
    <x v="0"/>
    <x v="3"/>
    <x v="1"/>
    <x v="0"/>
    <x v="1"/>
    <x v="0"/>
    <x v="2"/>
    <x v="2"/>
  </r>
  <r>
    <n v="1272"/>
    <d v="2023-04-06T00:00:00"/>
    <x v="5"/>
    <x v="17"/>
    <n v="1495"/>
    <n v="3"/>
    <n v="4485"/>
    <n v="49"/>
    <x v="0"/>
    <x v="0"/>
    <x v="2"/>
    <x v="2"/>
    <x v="1"/>
    <x v="1"/>
    <x v="8"/>
    <x v="1"/>
  </r>
  <r>
    <n v="1273"/>
    <d v="2023-10-01T00:00:00"/>
    <x v="5"/>
    <x v="17"/>
    <n v="1474"/>
    <n v="3"/>
    <n v="4422"/>
    <n v="36"/>
    <x v="1"/>
    <x v="8"/>
    <x v="1"/>
    <x v="0"/>
    <x v="3"/>
    <x v="1"/>
    <x v="0"/>
    <x v="1"/>
  </r>
  <r>
    <n v="1274"/>
    <d v="2023-10-29T00:00:00"/>
    <x v="0"/>
    <x v="14"/>
    <n v="1340"/>
    <n v="1"/>
    <n v="1340"/>
    <n v="30"/>
    <x v="1"/>
    <x v="2"/>
    <x v="4"/>
    <x v="1"/>
    <x v="5"/>
    <x v="0"/>
    <x v="0"/>
    <x v="1"/>
  </r>
  <r>
    <n v="1275"/>
    <d v="2023-01-25T00:00:00"/>
    <x v="4"/>
    <x v="6"/>
    <n v="390"/>
    <n v="2"/>
    <n v="780"/>
    <n v="45"/>
    <x v="1"/>
    <x v="2"/>
    <x v="2"/>
    <x v="2"/>
    <x v="2"/>
    <x v="0"/>
    <x v="2"/>
    <x v="1"/>
  </r>
  <r>
    <n v="1276"/>
    <d v="2023-10-25T00:00:00"/>
    <x v="5"/>
    <x v="32"/>
    <n v="824"/>
    <n v="1"/>
    <n v="824"/>
    <n v="50"/>
    <x v="1"/>
    <x v="0"/>
    <x v="1"/>
    <x v="2"/>
    <x v="2"/>
    <x v="1"/>
    <x v="0"/>
    <x v="2"/>
  </r>
  <r>
    <n v="1277"/>
    <d v="2023-12-14T00:00:00"/>
    <x v="3"/>
    <x v="21"/>
    <n v="1088"/>
    <n v="3"/>
    <n v="3264"/>
    <n v="51"/>
    <x v="0"/>
    <x v="0"/>
    <x v="3"/>
    <x v="2"/>
    <x v="4"/>
    <x v="0"/>
    <x v="11"/>
    <x v="2"/>
  </r>
  <r>
    <n v="1278"/>
    <d v="2023-11-11T00:00:00"/>
    <x v="5"/>
    <x v="32"/>
    <n v="158"/>
    <n v="1"/>
    <n v="158"/>
    <n v="19"/>
    <x v="0"/>
    <x v="5"/>
    <x v="5"/>
    <x v="1"/>
    <x v="0"/>
    <x v="1"/>
    <x v="10"/>
    <x v="0"/>
  </r>
  <r>
    <n v="1279"/>
    <d v="2023-04-09T00:00:00"/>
    <x v="2"/>
    <x v="2"/>
    <n v="568"/>
    <n v="2"/>
    <n v="1136"/>
    <n v="40"/>
    <x v="1"/>
    <x v="6"/>
    <x v="3"/>
    <x v="2"/>
    <x v="5"/>
    <x v="1"/>
    <x v="8"/>
    <x v="1"/>
  </r>
  <r>
    <n v="1280"/>
    <d v="2023-03-19T00:00:00"/>
    <x v="0"/>
    <x v="14"/>
    <n v="1274"/>
    <n v="2"/>
    <n v="2548"/>
    <n v="24"/>
    <x v="0"/>
    <x v="4"/>
    <x v="1"/>
    <x v="1"/>
    <x v="0"/>
    <x v="0"/>
    <x v="3"/>
    <x v="0"/>
  </r>
  <r>
    <n v="1281"/>
    <d v="2023-02-18T00:00:00"/>
    <x v="4"/>
    <x v="13"/>
    <n v="683"/>
    <n v="4"/>
    <n v="2732"/>
    <n v="40"/>
    <x v="0"/>
    <x v="1"/>
    <x v="2"/>
    <x v="0"/>
    <x v="5"/>
    <x v="1"/>
    <x v="6"/>
    <x v="1"/>
  </r>
  <r>
    <n v="1282"/>
    <d v="2023-02-06T00:00:00"/>
    <x v="1"/>
    <x v="9"/>
    <n v="1397"/>
    <n v="5"/>
    <n v="6985"/>
    <n v="36"/>
    <x v="0"/>
    <x v="5"/>
    <x v="0"/>
    <x v="1"/>
    <x v="3"/>
    <x v="0"/>
    <x v="6"/>
    <x v="1"/>
  </r>
  <r>
    <n v="1283"/>
    <d v="2023-09-25T00:00:00"/>
    <x v="5"/>
    <x v="15"/>
    <n v="840"/>
    <n v="5"/>
    <n v="4200"/>
    <n v="56"/>
    <x v="1"/>
    <x v="4"/>
    <x v="0"/>
    <x v="0"/>
    <x v="1"/>
    <x v="1"/>
    <x v="1"/>
    <x v="2"/>
  </r>
  <r>
    <n v="1284"/>
    <d v="2023-06-21T00:00:00"/>
    <x v="1"/>
    <x v="35"/>
    <n v="1460"/>
    <n v="3"/>
    <n v="4380"/>
    <n v="54"/>
    <x v="0"/>
    <x v="1"/>
    <x v="3"/>
    <x v="4"/>
    <x v="4"/>
    <x v="1"/>
    <x v="5"/>
    <x v="2"/>
  </r>
  <r>
    <n v="1285"/>
    <d v="2024-02-03T00:00:00"/>
    <x v="1"/>
    <x v="1"/>
    <n v="510"/>
    <n v="4"/>
    <n v="2040"/>
    <n v="47"/>
    <x v="0"/>
    <x v="6"/>
    <x v="1"/>
    <x v="0"/>
    <x v="3"/>
    <x v="1"/>
    <x v="6"/>
    <x v="1"/>
  </r>
  <r>
    <n v="1286"/>
    <d v="2023-09-14T00:00:00"/>
    <x v="4"/>
    <x v="4"/>
    <n v="1049"/>
    <n v="4"/>
    <n v="4196"/>
    <n v="37"/>
    <x v="0"/>
    <x v="6"/>
    <x v="4"/>
    <x v="3"/>
    <x v="4"/>
    <x v="1"/>
    <x v="1"/>
    <x v="1"/>
  </r>
  <r>
    <n v="1287"/>
    <d v="2023-08-11T00:00:00"/>
    <x v="0"/>
    <x v="14"/>
    <n v="894"/>
    <n v="4"/>
    <n v="3576"/>
    <n v="33"/>
    <x v="0"/>
    <x v="3"/>
    <x v="5"/>
    <x v="2"/>
    <x v="1"/>
    <x v="0"/>
    <x v="7"/>
    <x v="1"/>
  </r>
  <r>
    <n v="1288"/>
    <d v="2023-12-07T00:00:00"/>
    <x v="5"/>
    <x v="32"/>
    <n v="813"/>
    <n v="3"/>
    <n v="2439"/>
    <n v="21"/>
    <x v="1"/>
    <x v="9"/>
    <x v="1"/>
    <x v="3"/>
    <x v="2"/>
    <x v="1"/>
    <x v="11"/>
    <x v="0"/>
  </r>
  <r>
    <n v="1289"/>
    <d v="2023-10-25T00:00:00"/>
    <x v="3"/>
    <x v="21"/>
    <n v="57"/>
    <n v="3"/>
    <n v="171"/>
    <n v="46"/>
    <x v="0"/>
    <x v="5"/>
    <x v="5"/>
    <x v="1"/>
    <x v="4"/>
    <x v="1"/>
    <x v="0"/>
    <x v="1"/>
  </r>
  <r>
    <n v="1290"/>
    <d v="2023-04-19T00:00:00"/>
    <x v="5"/>
    <x v="32"/>
    <n v="987"/>
    <n v="5"/>
    <n v="4935"/>
    <n v="29"/>
    <x v="1"/>
    <x v="5"/>
    <x v="1"/>
    <x v="0"/>
    <x v="2"/>
    <x v="1"/>
    <x v="8"/>
    <x v="0"/>
  </r>
  <r>
    <n v="1291"/>
    <d v="2023-03-18T00:00:00"/>
    <x v="0"/>
    <x v="22"/>
    <n v="1447"/>
    <n v="2"/>
    <n v="2894"/>
    <n v="49"/>
    <x v="0"/>
    <x v="7"/>
    <x v="5"/>
    <x v="1"/>
    <x v="0"/>
    <x v="0"/>
    <x v="3"/>
    <x v="1"/>
  </r>
  <r>
    <n v="1292"/>
    <d v="2023-12-03T00:00:00"/>
    <x v="4"/>
    <x v="13"/>
    <n v="62"/>
    <n v="3"/>
    <n v="186"/>
    <n v="39"/>
    <x v="1"/>
    <x v="7"/>
    <x v="1"/>
    <x v="3"/>
    <x v="0"/>
    <x v="1"/>
    <x v="11"/>
    <x v="1"/>
  </r>
  <r>
    <n v="1293"/>
    <d v="2023-05-10T00:00:00"/>
    <x v="0"/>
    <x v="12"/>
    <n v="819"/>
    <n v="5"/>
    <n v="4095"/>
    <n v="47"/>
    <x v="1"/>
    <x v="4"/>
    <x v="1"/>
    <x v="4"/>
    <x v="0"/>
    <x v="1"/>
    <x v="9"/>
    <x v="1"/>
  </r>
  <r>
    <n v="1294"/>
    <d v="2023-01-13T00:00:00"/>
    <x v="4"/>
    <x v="4"/>
    <n v="1498"/>
    <n v="2"/>
    <n v="2996"/>
    <n v="49"/>
    <x v="1"/>
    <x v="7"/>
    <x v="3"/>
    <x v="3"/>
    <x v="1"/>
    <x v="1"/>
    <x v="2"/>
    <x v="1"/>
  </r>
  <r>
    <n v="1295"/>
    <d v="2023-06-29T00:00:00"/>
    <x v="0"/>
    <x v="22"/>
    <n v="1288"/>
    <n v="5"/>
    <n v="6440"/>
    <n v="28"/>
    <x v="0"/>
    <x v="4"/>
    <x v="0"/>
    <x v="0"/>
    <x v="2"/>
    <x v="1"/>
    <x v="5"/>
    <x v="0"/>
  </r>
  <r>
    <n v="1296"/>
    <d v="2023-05-18T00:00:00"/>
    <x v="6"/>
    <x v="8"/>
    <n v="1309"/>
    <n v="4"/>
    <n v="5236"/>
    <n v="33"/>
    <x v="0"/>
    <x v="7"/>
    <x v="1"/>
    <x v="3"/>
    <x v="1"/>
    <x v="0"/>
    <x v="9"/>
    <x v="1"/>
  </r>
  <r>
    <n v="1297"/>
    <d v="2023-09-01T00:00:00"/>
    <x v="1"/>
    <x v="31"/>
    <n v="1031"/>
    <n v="3"/>
    <n v="3093"/>
    <n v="24"/>
    <x v="1"/>
    <x v="5"/>
    <x v="4"/>
    <x v="3"/>
    <x v="1"/>
    <x v="1"/>
    <x v="1"/>
    <x v="0"/>
  </r>
  <r>
    <n v="1298"/>
    <d v="2023-07-11T00:00:00"/>
    <x v="5"/>
    <x v="11"/>
    <n v="678"/>
    <n v="2"/>
    <n v="1356"/>
    <n v="33"/>
    <x v="1"/>
    <x v="7"/>
    <x v="4"/>
    <x v="3"/>
    <x v="4"/>
    <x v="1"/>
    <x v="4"/>
    <x v="1"/>
  </r>
  <r>
    <n v="1299"/>
    <d v="2023-11-15T00:00:00"/>
    <x v="0"/>
    <x v="10"/>
    <n v="1135"/>
    <n v="5"/>
    <n v="5675"/>
    <n v="50"/>
    <x v="1"/>
    <x v="3"/>
    <x v="2"/>
    <x v="3"/>
    <x v="2"/>
    <x v="1"/>
    <x v="10"/>
    <x v="2"/>
  </r>
  <r>
    <n v="1300"/>
    <d v="2023-11-03T00:00:00"/>
    <x v="4"/>
    <x v="6"/>
    <n v="1307"/>
    <n v="1"/>
    <n v="1307"/>
    <n v="26"/>
    <x v="1"/>
    <x v="7"/>
    <x v="3"/>
    <x v="1"/>
    <x v="5"/>
    <x v="0"/>
    <x v="10"/>
    <x v="0"/>
  </r>
  <r>
    <n v="1301"/>
    <d v="2023-12-11T00:00:00"/>
    <x v="4"/>
    <x v="29"/>
    <n v="1132"/>
    <n v="1"/>
    <n v="1132"/>
    <n v="44"/>
    <x v="1"/>
    <x v="6"/>
    <x v="2"/>
    <x v="0"/>
    <x v="4"/>
    <x v="1"/>
    <x v="11"/>
    <x v="1"/>
  </r>
  <r>
    <n v="1302"/>
    <d v="2023-07-19T00:00:00"/>
    <x v="5"/>
    <x v="17"/>
    <n v="259"/>
    <n v="4"/>
    <n v="1036"/>
    <n v="35"/>
    <x v="0"/>
    <x v="5"/>
    <x v="2"/>
    <x v="0"/>
    <x v="5"/>
    <x v="1"/>
    <x v="4"/>
    <x v="1"/>
  </r>
  <r>
    <n v="1303"/>
    <d v="2023-07-31T00:00:00"/>
    <x v="0"/>
    <x v="22"/>
    <n v="280"/>
    <n v="3"/>
    <n v="840"/>
    <n v="41"/>
    <x v="1"/>
    <x v="5"/>
    <x v="0"/>
    <x v="4"/>
    <x v="3"/>
    <x v="1"/>
    <x v="4"/>
    <x v="1"/>
  </r>
  <r>
    <n v="1304"/>
    <d v="2023-03-19T00:00:00"/>
    <x v="4"/>
    <x v="29"/>
    <n v="233"/>
    <n v="5"/>
    <n v="1165"/>
    <n v="42"/>
    <x v="0"/>
    <x v="3"/>
    <x v="0"/>
    <x v="1"/>
    <x v="5"/>
    <x v="1"/>
    <x v="3"/>
    <x v="1"/>
  </r>
  <r>
    <n v="1305"/>
    <d v="2023-07-27T00:00:00"/>
    <x v="2"/>
    <x v="28"/>
    <n v="429"/>
    <n v="1"/>
    <n v="429"/>
    <n v="36"/>
    <x v="0"/>
    <x v="8"/>
    <x v="5"/>
    <x v="4"/>
    <x v="1"/>
    <x v="1"/>
    <x v="4"/>
    <x v="1"/>
  </r>
  <r>
    <n v="1306"/>
    <d v="2023-06-18T00:00:00"/>
    <x v="5"/>
    <x v="7"/>
    <n v="574"/>
    <n v="2"/>
    <n v="1148"/>
    <n v="58"/>
    <x v="1"/>
    <x v="3"/>
    <x v="1"/>
    <x v="2"/>
    <x v="2"/>
    <x v="1"/>
    <x v="5"/>
    <x v="2"/>
  </r>
  <r>
    <n v="1307"/>
    <d v="2023-05-23T00:00:00"/>
    <x v="5"/>
    <x v="15"/>
    <n v="89"/>
    <n v="4"/>
    <n v="356"/>
    <n v="58"/>
    <x v="0"/>
    <x v="2"/>
    <x v="3"/>
    <x v="3"/>
    <x v="2"/>
    <x v="1"/>
    <x v="9"/>
    <x v="2"/>
  </r>
  <r>
    <n v="1308"/>
    <d v="2023-04-28T00:00:00"/>
    <x v="5"/>
    <x v="11"/>
    <n v="532"/>
    <n v="5"/>
    <n v="2660"/>
    <n v="45"/>
    <x v="1"/>
    <x v="0"/>
    <x v="5"/>
    <x v="1"/>
    <x v="1"/>
    <x v="1"/>
    <x v="8"/>
    <x v="1"/>
  </r>
  <r>
    <n v="1309"/>
    <d v="2023-08-02T00:00:00"/>
    <x v="2"/>
    <x v="5"/>
    <n v="378"/>
    <n v="3"/>
    <n v="1134"/>
    <n v="58"/>
    <x v="1"/>
    <x v="9"/>
    <x v="1"/>
    <x v="4"/>
    <x v="3"/>
    <x v="0"/>
    <x v="7"/>
    <x v="2"/>
  </r>
  <r>
    <n v="1310"/>
    <d v="2023-02-20T00:00:00"/>
    <x v="3"/>
    <x v="21"/>
    <n v="32"/>
    <n v="3"/>
    <n v="96"/>
    <n v="26"/>
    <x v="1"/>
    <x v="3"/>
    <x v="4"/>
    <x v="0"/>
    <x v="2"/>
    <x v="0"/>
    <x v="6"/>
    <x v="0"/>
  </r>
  <r>
    <n v="1311"/>
    <d v="2023-01-03T00:00:00"/>
    <x v="0"/>
    <x v="14"/>
    <n v="832"/>
    <n v="1"/>
    <n v="832"/>
    <n v="50"/>
    <x v="1"/>
    <x v="8"/>
    <x v="1"/>
    <x v="0"/>
    <x v="2"/>
    <x v="1"/>
    <x v="2"/>
    <x v="2"/>
  </r>
  <r>
    <n v="1312"/>
    <d v="2023-02-07T00:00:00"/>
    <x v="1"/>
    <x v="1"/>
    <n v="1005"/>
    <n v="4"/>
    <n v="4020"/>
    <n v="30"/>
    <x v="1"/>
    <x v="7"/>
    <x v="2"/>
    <x v="1"/>
    <x v="0"/>
    <x v="0"/>
    <x v="6"/>
    <x v="1"/>
  </r>
  <r>
    <n v="1313"/>
    <d v="2023-01-10T00:00:00"/>
    <x v="2"/>
    <x v="28"/>
    <n v="906"/>
    <n v="4"/>
    <n v="3624"/>
    <n v="26"/>
    <x v="1"/>
    <x v="4"/>
    <x v="5"/>
    <x v="2"/>
    <x v="0"/>
    <x v="1"/>
    <x v="2"/>
    <x v="0"/>
  </r>
  <r>
    <n v="1314"/>
    <d v="2023-02-23T00:00:00"/>
    <x v="5"/>
    <x v="17"/>
    <n v="287"/>
    <n v="2"/>
    <n v="574"/>
    <n v="31"/>
    <x v="1"/>
    <x v="2"/>
    <x v="5"/>
    <x v="3"/>
    <x v="2"/>
    <x v="0"/>
    <x v="6"/>
    <x v="1"/>
  </r>
  <r>
    <n v="1315"/>
    <d v="2024-01-05T00:00:00"/>
    <x v="1"/>
    <x v="27"/>
    <n v="231"/>
    <n v="4"/>
    <n v="924"/>
    <n v="34"/>
    <x v="1"/>
    <x v="7"/>
    <x v="0"/>
    <x v="2"/>
    <x v="0"/>
    <x v="0"/>
    <x v="2"/>
    <x v="1"/>
  </r>
  <r>
    <n v="1316"/>
    <d v="2023-09-26T00:00:00"/>
    <x v="4"/>
    <x v="19"/>
    <n v="638"/>
    <n v="2"/>
    <n v="1276"/>
    <n v="22"/>
    <x v="0"/>
    <x v="0"/>
    <x v="0"/>
    <x v="4"/>
    <x v="1"/>
    <x v="0"/>
    <x v="1"/>
    <x v="0"/>
  </r>
  <r>
    <n v="1317"/>
    <d v="2023-10-13T00:00:00"/>
    <x v="3"/>
    <x v="3"/>
    <n v="219"/>
    <n v="5"/>
    <n v="1095"/>
    <n v="53"/>
    <x v="1"/>
    <x v="6"/>
    <x v="2"/>
    <x v="4"/>
    <x v="3"/>
    <x v="1"/>
    <x v="0"/>
    <x v="2"/>
  </r>
  <r>
    <n v="1318"/>
    <d v="2023-07-15T00:00:00"/>
    <x v="4"/>
    <x v="13"/>
    <n v="161"/>
    <n v="5"/>
    <n v="805"/>
    <n v="46"/>
    <x v="0"/>
    <x v="6"/>
    <x v="2"/>
    <x v="0"/>
    <x v="1"/>
    <x v="1"/>
    <x v="4"/>
    <x v="1"/>
  </r>
  <r>
    <n v="1319"/>
    <d v="2023-12-03T00:00:00"/>
    <x v="2"/>
    <x v="2"/>
    <n v="1358"/>
    <n v="4"/>
    <n v="5432"/>
    <n v="20"/>
    <x v="1"/>
    <x v="3"/>
    <x v="5"/>
    <x v="0"/>
    <x v="5"/>
    <x v="0"/>
    <x v="11"/>
    <x v="0"/>
  </r>
  <r>
    <n v="1320"/>
    <d v="2023-10-10T00:00:00"/>
    <x v="6"/>
    <x v="24"/>
    <n v="1222"/>
    <n v="3"/>
    <n v="3666"/>
    <n v="60"/>
    <x v="0"/>
    <x v="2"/>
    <x v="5"/>
    <x v="3"/>
    <x v="1"/>
    <x v="0"/>
    <x v="0"/>
    <x v="2"/>
  </r>
  <r>
    <n v="1321"/>
    <d v="2023-10-19T00:00:00"/>
    <x v="4"/>
    <x v="29"/>
    <n v="884"/>
    <n v="3"/>
    <n v="2652"/>
    <n v="60"/>
    <x v="1"/>
    <x v="6"/>
    <x v="4"/>
    <x v="0"/>
    <x v="2"/>
    <x v="1"/>
    <x v="0"/>
    <x v="2"/>
  </r>
  <r>
    <n v="1322"/>
    <d v="2023-04-27T00:00:00"/>
    <x v="6"/>
    <x v="33"/>
    <n v="600"/>
    <n v="1"/>
    <n v="600"/>
    <n v="54"/>
    <x v="0"/>
    <x v="8"/>
    <x v="5"/>
    <x v="4"/>
    <x v="0"/>
    <x v="0"/>
    <x v="8"/>
    <x v="2"/>
  </r>
  <r>
    <n v="1323"/>
    <d v="2023-02-14T00:00:00"/>
    <x v="2"/>
    <x v="30"/>
    <n v="1025"/>
    <n v="2"/>
    <n v="2050"/>
    <n v="29"/>
    <x v="1"/>
    <x v="4"/>
    <x v="5"/>
    <x v="0"/>
    <x v="2"/>
    <x v="1"/>
    <x v="6"/>
    <x v="0"/>
  </r>
  <r>
    <n v="1324"/>
    <d v="2023-09-18T00:00:00"/>
    <x v="2"/>
    <x v="20"/>
    <n v="1257"/>
    <n v="3"/>
    <n v="3771"/>
    <n v="48"/>
    <x v="0"/>
    <x v="3"/>
    <x v="4"/>
    <x v="0"/>
    <x v="1"/>
    <x v="0"/>
    <x v="1"/>
    <x v="1"/>
  </r>
  <r>
    <n v="1325"/>
    <d v="2023-01-02T00:00:00"/>
    <x v="2"/>
    <x v="5"/>
    <n v="92"/>
    <n v="1"/>
    <n v="92"/>
    <n v="53"/>
    <x v="0"/>
    <x v="0"/>
    <x v="3"/>
    <x v="1"/>
    <x v="2"/>
    <x v="1"/>
    <x v="2"/>
    <x v="2"/>
  </r>
  <r>
    <n v="1326"/>
    <d v="2023-01-03T00:00:00"/>
    <x v="0"/>
    <x v="22"/>
    <n v="814"/>
    <n v="2"/>
    <n v="1628"/>
    <n v="59"/>
    <x v="1"/>
    <x v="2"/>
    <x v="1"/>
    <x v="0"/>
    <x v="4"/>
    <x v="1"/>
    <x v="2"/>
    <x v="2"/>
  </r>
  <r>
    <n v="1327"/>
    <d v="2023-01-10T00:00:00"/>
    <x v="1"/>
    <x v="1"/>
    <n v="1071"/>
    <n v="5"/>
    <n v="5355"/>
    <n v="24"/>
    <x v="1"/>
    <x v="4"/>
    <x v="4"/>
    <x v="3"/>
    <x v="1"/>
    <x v="0"/>
    <x v="2"/>
    <x v="0"/>
  </r>
  <r>
    <n v="1328"/>
    <d v="2023-06-19T00:00:00"/>
    <x v="6"/>
    <x v="24"/>
    <n v="128"/>
    <n v="4"/>
    <n v="512"/>
    <n v="18"/>
    <x v="1"/>
    <x v="6"/>
    <x v="5"/>
    <x v="2"/>
    <x v="4"/>
    <x v="0"/>
    <x v="5"/>
    <x v="0"/>
  </r>
  <r>
    <n v="1329"/>
    <d v="2023-02-12T00:00:00"/>
    <x v="5"/>
    <x v="17"/>
    <n v="69"/>
    <n v="4"/>
    <n v="276"/>
    <n v="27"/>
    <x v="0"/>
    <x v="5"/>
    <x v="5"/>
    <x v="0"/>
    <x v="2"/>
    <x v="0"/>
    <x v="6"/>
    <x v="0"/>
  </r>
  <r>
    <n v="1330"/>
    <d v="2023-12-22T00:00:00"/>
    <x v="2"/>
    <x v="30"/>
    <n v="637"/>
    <n v="1"/>
    <n v="637"/>
    <n v="50"/>
    <x v="0"/>
    <x v="8"/>
    <x v="0"/>
    <x v="3"/>
    <x v="5"/>
    <x v="1"/>
    <x v="11"/>
    <x v="2"/>
  </r>
  <r>
    <n v="1331"/>
    <d v="2023-03-02T00:00:00"/>
    <x v="1"/>
    <x v="35"/>
    <n v="1327"/>
    <n v="2"/>
    <n v="2654"/>
    <n v="31"/>
    <x v="1"/>
    <x v="0"/>
    <x v="3"/>
    <x v="1"/>
    <x v="4"/>
    <x v="1"/>
    <x v="3"/>
    <x v="1"/>
  </r>
  <r>
    <n v="1332"/>
    <d v="2023-09-21T00:00:00"/>
    <x v="5"/>
    <x v="7"/>
    <n v="229"/>
    <n v="4"/>
    <n v="916"/>
    <n v="59"/>
    <x v="0"/>
    <x v="5"/>
    <x v="2"/>
    <x v="3"/>
    <x v="4"/>
    <x v="1"/>
    <x v="1"/>
    <x v="2"/>
  </r>
  <r>
    <n v="1333"/>
    <d v="2023-03-15T00:00:00"/>
    <x v="1"/>
    <x v="1"/>
    <n v="1154"/>
    <n v="5"/>
    <n v="5770"/>
    <n v="20"/>
    <x v="1"/>
    <x v="2"/>
    <x v="1"/>
    <x v="0"/>
    <x v="5"/>
    <x v="1"/>
    <x v="3"/>
    <x v="0"/>
  </r>
  <r>
    <n v="1334"/>
    <d v="2023-06-10T00:00:00"/>
    <x v="4"/>
    <x v="19"/>
    <n v="1333"/>
    <n v="3"/>
    <n v="3999"/>
    <n v="38"/>
    <x v="1"/>
    <x v="2"/>
    <x v="1"/>
    <x v="1"/>
    <x v="2"/>
    <x v="1"/>
    <x v="5"/>
    <x v="1"/>
  </r>
  <r>
    <n v="1335"/>
    <d v="2023-11-03T00:00:00"/>
    <x v="0"/>
    <x v="22"/>
    <n v="607"/>
    <n v="3"/>
    <n v="1821"/>
    <n v="19"/>
    <x v="0"/>
    <x v="8"/>
    <x v="3"/>
    <x v="0"/>
    <x v="3"/>
    <x v="0"/>
    <x v="10"/>
    <x v="0"/>
  </r>
  <r>
    <n v="1336"/>
    <d v="2023-07-19T00:00:00"/>
    <x v="6"/>
    <x v="24"/>
    <n v="950"/>
    <n v="3"/>
    <n v="2850"/>
    <n v="18"/>
    <x v="0"/>
    <x v="0"/>
    <x v="0"/>
    <x v="0"/>
    <x v="0"/>
    <x v="0"/>
    <x v="4"/>
    <x v="0"/>
  </r>
  <r>
    <n v="1337"/>
    <d v="2023-09-08T00:00:00"/>
    <x v="4"/>
    <x v="19"/>
    <n v="1303"/>
    <n v="1"/>
    <n v="1303"/>
    <n v="48"/>
    <x v="1"/>
    <x v="3"/>
    <x v="5"/>
    <x v="1"/>
    <x v="2"/>
    <x v="1"/>
    <x v="1"/>
    <x v="1"/>
  </r>
  <r>
    <n v="1338"/>
    <d v="2023-12-10T00:00:00"/>
    <x v="3"/>
    <x v="26"/>
    <n v="1415"/>
    <n v="1"/>
    <n v="1415"/>
    <n v="35"/>
    <x v="0"/>
    <x v="2"/>
    <x v="0"/>
    <x v="2"/>
    <x v="3"/>
    <x v="0"/>
    <x v="11"/>
    <x v="1"/>
  </r>
  <r>
    <n v="1339"/>
    <d v="2023-03-19T00:00:00"/>
    <x v="2"/>
    <x v="20"/>
    <n v="771"/>
    <n v="3"/>
    <n v="2313"/>
    <n v="43"/>
    <x v="1"/>
    <x v="9"/>
    <x v="0"/>
    <x v="1"/>
    <x v="4"/>
    <x v="0"/>
    <x v="3"/>
    <x v="1"/>
  </r>
  <r>
    <n v="1340"/>
    <d v="2023-07-29T00:00:00"/>
    <x v="0"/>
    <x v="12"/>
    <n v="70"/>
    <n v="2"/>
    <n v="140"/>
    <n v="19"/>
    <x v="0"/>
    <x v="2"/>
    <x v="2"/>
    <x v="0"/>
    <x v="2"/>
    <x v="1"/>
    <x v="4"/>
    <x v="0"/>
  </r>
  <r>
    <n v="1341"/>
    <d v="2023-04-15T00:00:00"/>
    <x v="0"/>
    <x v="14"/>
    <n v="607"/>
    <n v="2"/>
    <n v="1214"/>
    <n v="20"/>
    <x v="0"/>
    <x v="0"/>
    <x v="5"/>
    <x v="1"/>
    <x v="3"/>
    <x v="0"/>
    <x v="8"/>
    <x v="0"/>
  </r>
  <r>
    <n v="1342"/>
    <d v="2023-01-12T00:00:00"/>
    <x v="0"/>
    <x v="14"/>
    <n v="171"/>
    <n v="4"/>
    <n v="684"/>
    <n v="28"/>
    <x v="0"/>
    <x v="5"/>
    <x v="3"/>
    <x v="3"/>
    <x v="2"/>
    <x v="0"/>
    <x v="2"/>
    <x v="0"/>
  </r>
  <r>
    <n v="1343"/>
    <d v="2023-07-20T00:00:00"/>
    <x v="2"/>
    <x v="30"/>
    <n v="881"/>
    <n v="4"/>
    <n v="3524"/>
    <n v="19"/>
    <x v="1"/>
    <x v="8"/>
    <x v="2"/>
    <x v="2"/>
    <x v="3"/>
    <x v="0"/>
    <x v="4"/>
    <x v="0"/>
  </r>
  <r>
    <n v="1344"/>
    <d v="2023-12-09T00:00:00"/>
    <x v="0"/>
    <x v="14"/>
    <n v="1012"/>
    <n v="5"/>
    <n v="5060"/>
    <n v="37"/>
    <x v="0"/>
    <x v="8"/>
    <x v="0"/>
    <x v="3"/>
    <x v="5"/>
    <x v="0"/>
    <x v="11"/>
    <x v="1"/>
  </r>
  <r>
    <n v="1345"/>
    <d v="2023-10-07T00:00:00"/>
    <x v="1"/>
    <x v="31"/>
    <n v="775"/>
    <n v="3"/>
    <n v="2325"/>
    <n v="36"/>
    <x v="0"/>
    <x v="5"/>
    <x v="5"/>
    <x v="4"/>
    <x v="5"/>
    <x v="0"/>
    <x v="0"/>
    <x v="1"/>
  </r>
  <r>
    <n v="1346"/>
    <d v="2023-07-05T00:00:00"/>
    <x v="6"/>
    <x v="24"/>
    <n v="329"/>
    <n v="1"/>
    <n v="329"/>
    <n v="53"/>
    <x v="1"/>
    <x v="5"/>
    <x v="0"/>
    <x v="4"/>
    <x v="5"/>
    <x v="0"/>
    <x v="4"/>
    <x v="2"/>
  </r>
  <r>
    <n v="1347"/>
    <d v="2023-04-01T00:00:00"/>
    <x v="0"/>
    <x v="10"/>
    <n v="374"/>
    <n v="3"/>
    <n v="1122"/>
    <n v="28"/>
    <x v="1"/>
    <x v="6"/>
    <x v="1"/>
    <x v="2"/>
    <x v="3"/>
    <x v="1"/>
    <x v="8"/>
    <x v="0"/>
  </r>
  <r>
    <n v="1348"/>
    <d v="2023-10-30T00:00:00"/>
    <x v="1"/>
    <x v="1"/>
    <n v="441"/>
    <n v="2"/>
    <n v="882"/>
    <n v="49"/>
    <x v="1"/>
    <x v="4"/>
    <x v="1"/>
    <x v="4"/>
    <x v="4"/>
    <x v="1"/>
    <x v="0"/>
    <x v="1"/>
  </r>
  <r>
    <n v="1349"/>
    <d v="2023-10-01T00:00:00"/>
    <x v="2"/>
    <x v="5"/>
    <n v="991"/>
    <n v="4"/>
    <n v="3964"/>
    <n v="39"/>
    <x v="0"/>
    <x v="4"/>
    <x v="3"/>
    <x v="3"/>
    <x v="4"/>
    <x v="0"/>
    <x v="0"/>
    <x v="1"/>
  </r>
  <r>
    <n v="1350"/>
    <d v="2023-10-15T00:00:00"/>
    <x v="2"/>
    <x v="28"/>
    <n v="1175"/>
    <n v="5"/>
    <n v="5875"/>
    <n v="42"/>
    <x v="1"/>
    <x v="4"/>
    <x v="2"/>
    <x v="4"/>
    <x v="1"/>
    <x v="1"/>
    <x v="0"/>
    <x v="1"/>
  </r>
  <r>
    <n v="1351"/>
    <d v="2023-01-08T00:00:00"/>
    <x v="3"/>
    <x v="21"/>
    <n v="662"/>
    <n v="3"/>
    <n v="1986"/>
    <n v="35"/>
    <x v="1"/>
    <x v="9"/>
    <x v="1"/>
    <x v="3"/>
    <x v="4"/>
    <x v="0"/>
    <x v="2"/>
    <x v="1"/>
  </r>
  <r>
    <n v="1352"/>
    <d v="2023-05-01T00:00:00"/>
    <x v="3"/>
    <x v="3"/>
    <n v="989"/>
    <n v="4"/>
    <n v="3956"/>
    <n v="38"/>
    <x v="1"/>
    <x v="1"/>
    <x v="0"/>
    <x v="1"/>
    <x v="3"/>
    <x v="0"/>
    <x v="9"/>
    <x v="1"/>
  </r>
  <r>
    <n v="1353"/>
    <d v="2023-05-18T00:00:00"/>
    <x v="3"/>
    <x v="25"/>
    <n v="425"/>
    <n v="2"/>
    <n v="850"/>
    <n v="19"/>
    <x v="0"/>
    <x v="7"/>
    <x v="2"/>
    <x v="4"/>
    <x v="3"/>
    <x v="0"/>
    <x v="9"/>
    <x v="0"/>
  </r>
  <r>
    <n v="1354"/>
    <d v="2023-12-22T00:00:00"/>
    <x v="0"/>
    <x v="22"/>
    <n v="399"/>
    <n v="3"/>
    <n v="1197"/>
    <n v="39"/>
    <x v="0"/>
    <x v="5"/>
    <x v="2"/>
    <x v="2"/>
    <x v="2"/>
    <x v="0"/>
    <x v="11"/>
    <x v="1"/>
  </r>
  <r>
    <n v="1355"/>
    <d v="2023-03-12T00:00:00"/>
    <x v="3"/>
    <x v="26"/>
    <n v="967"/>
    <n v="2"/>
    <n v="1934"/>
    <n v="45"/>
    <x v="1"/>
    <x v="8"/>
    <x v="4"/>
    <x v="1"/>
    <x v="5"/>
    <x v="1"/>
    <x v="3"/>
    <x v="1"/>
  </r>
  <r>
    <n v="1356"/>
    <d v="2023-01-17T00:00:00"/>
    <x v="1"/>
    <x v="31"/>
    <n v="1071"/>
    <n v="3"/>
    <n v="3213"/>
    <n v="53"/>
    <x v="0"/>
    <x v="5"/>
    <x v="5"/>
    <x v="3"/>
    <x v="3"/>
    <x v="1"/>
    <x v="2"/>
    <x v="2"/>
  </r>
  <r>
    <n v="1357"/>
    <d v="2023-01-07T00:00:00"/>
    <x v="6"/>
    <x v="16"/>
    <n v="444"/>
    <n v="3"/>
    <n v="1332"/>
    <n v="60"/>
    <x v="1"/>
    <x v="8"/>
    <x v="3"/>
    <x v="1"/>
    <x v="5"/>
    <x v="1"/>
    <x v="2"/>
    <x v="2"/>
  </r>
  <r>
    <n v="1358"/>
    <d v="2023-03-07T00:00:00"/>
    <x v="2"/>
    <x v="28"/>
    <n v="855"/>
    <n v="1"/>
    <n v="855"/>
    <n v="41"/>
    <x v="1"/>
    <x v="3"/>
    <x v="2"/>
    <x v="1"/>
    <x v="3"/>
    <x v="0"/>
    <x v="3"/>
    <x v="1"/>
  </r>
  <r>
    <n v="1359"/>
    <d v="2023-07-19T00:00:00"/>
    <x v="2"/>
    <x v="28"/>
    <n v="924"/>
    <n v="1"/>
    <n v="924"/>
    <n v="49"/>
    <x v="0"/>
    <x v="5"/>
    <x v="1"/>
    <x v="2"/>
    <x v="1"/>
    <x v="1"/>
    <x v="4"/>
    <x v="1"/>
  </r>
  <r>
    <n v="1360"/>
    <d v="2023-01-20T00:00:00"/>
    <x v="0"/>
    <x v="34"/>
    <n v="922"/>
    <n v="5"/>
    <n v="4610"/>
    <n v="37"/>
    <x v="0"/>
    <x v="6"/>
    <x v="3"/>
    <x v="2"/>
    <x v="5"/>
    <x v="1"/>
    <x v="2"/>
    <x v="1"/>
  </r>
  <r>
    <n v="1361"/>
    <d v="2023-06-05T00:00:00"/>
    <x v="1"/>
    <x v="35"/>
    <n v="225"/>
    <n v="3"/>
    <n v="675"/>
    <n v="30"/>
    <x v="0"/>
    <x v="4"/>
    <x v="1"/>
    <x v="4"/>
    <x v="0"/>
    <x v="1"/>
    <x v="5"/>
    <x v="1"/>
  </r>
  <r>
    <n v="1362"/>
    <d v="2023-06-22T00:00:00"/>
    <x v="6"/>
    <x v="8"/>
    <n v="795"/>
    <n v="5"/>
    <n v="3975"/>
    <n v="25"/>
    <x v="1"/>
    <x v="1"/>
    <x v="0"/>
    <x v="2"/>
    <x v="5"/>
    <x v="1"/>
    <x v="5"/>
    <x v="0"/>
  </r>
  <r>
    <n v="1363"/>
    <d v="2023-01-03T00:00:00"/>
    <x v="6"/>
    <x v="16"/>
    <n v="1017"/>
    <n v="5"/>
    <n v="5085"/>
    <n v="36"/>
    <x v="0"/>
    <x v="1"/>
    <x v="3"/>
    <x v="3"/>
    <x v="0"/>
    <x v="0"/>
    <x v="2"/>
    <x v="1"/>
  </r>
  <r>
    <n v="1364"/>
    <d v="2023-09-03T00:00:00"/>
    <x v="1"/>
    <x v="31"/>
    <n v="176"/>
    <n v="1"/>
    <n v="176"/>
    <n v="23"/>
    <x v="1"/>
    <x v="0"/>
    <x v="0"/>
    <x v="2"/>
    <x v="2"/>
    <x v="1"/>
    <x v="1"/>
    <x v="0"/>
  </r>
  <r>
    <n v="1365"/>
    <d v="2023-04-15T00:00:00"/>
    <x v="1"/>
    <x v="35"/>
    <n v="1252"/>
    <n v="1"/>
    <n v="1252"/>
    <n v="49"/>
    <x v="1"/>
    <x v="8"/>
    <x v="4"/>
    <x v="3"/>
    <x v="5"/>
    <x v="0"/>
    <x v="8"/>
    <x v="1"/>
  </r>
  <r>
    <n v="1366"/>
    <d v="2023-03-21T00:00:00"/>
    <x v="5"/>
    <x v="17"/>
    <n v="321"/>
    <n v="4"/>
    <n v="1284"/>
    <n v="36"/>
    <x v="1"/>
    <x v="7"/>
    <x v="5"/>
    <x v="1"/>
    <x v="0"/>
    <x v="1"/>
    <x v="3"/>
    <x v="1"/>
  </r>
  <r>
    <n v="1367"/>
    <d v="2023-06-15T00:00:00"/>
    <x v="2"/>
    <x v="20"/>
    <n v="1312"/>
    <n v="5"/>
    <n v="6560"/>
    <n v="57"/>
    <x v="0"/>
    <x v="1"/>
    <x v="5"/>
    <x v="4"/>
    <x v="1"/>
    <x v="0"/>
    <x v="5"/>
    <x v="2"/>
  </r>
  <r>
    <n v="1368"/>
    <d v="2023-06-07T00:00:00"/>
    <x v="3"/>
    <x v="25"/>
    <n v="1458"/>
    <n v="2"/>
    <n v="2916"/>
    <n v="42"/>
    <x v="1"/>
    <x v="3"/>
    <x v="2"/>
    <x v="0"/>
    <x v="3"/>
    <x v="0"/>
    <x v="5"/>
    <x v="1"/>
  </r>
  <r>
    <n v="1369"/>
    <d v="2023-05-24T00:00:00"/>
    <x v="4"/>
    <x v="4"/>
    <n v="670"/>
    <n v="5"/>
    <n v="3350"/>
    <n v="28"/>
    <x v="1"/>
    <x v="0"/>
    <x v="1"/>
    <x v="1"/>
    <x v="3"/>
    <x v="1"/>
    <x v="9"/>
    <x v="0"/>
  </r>
  <r>
    <n v="1370"/>
    <d v="2023-03-15T00:00:00"/>
    <x v="1"/>
    <x v="27"/>
    <n v="403"/>
    <n v="5"/>
    <n v="2015"/>
    <n v="31"/>
    <x v="0"/>
    <x v="3"/>
    <x v="4"/>
    <x v="3"/>
    <x v="2"/>
    <x v="0"/>
    <x v="3"/>
    <x v="1"/>
  </r>
  <r>
    <n v="1371"/>
    <d v="2023-03-16T00:00:00"/>
    <x v="4"/>
    <x v="6"/>
    <n v="164"/>
    <n v="4"/>
    <n v="656"/>
    <n v="21"/>
    <x v="1"/>
    <x v="1"/>
    <x v="2"/>
    <x v="0"/>
    <x v="5"/>
    <x v="1"/>
    <x v="3"/>
    <x v="0"/>
  </r>
  <r>
    <n v="1372"/>
    <d v="2023-11-26T00:00:00"/>
    <x v="2"/>
    <x v="5"/>
    <n v="1353"/>
    <n v="2"/>
    <n v="2706"/>
    <n v="56"/>
    <x v="1"/>
    <x v="1"/>
    <x v="2"/>
    <x v="3"/>
    <x v="2"/>
    <x v="1"/>
    <x v="10"/>
    <x v="2"/>
  </r>
  <r>
    <n v="1373"/>
    <d v="2023-03-14T00:00:00"/>
    <x v="2"/>
    <x v="28"/>
    <n v="662"/>
    <n v="2"/>
    <n v="1324"/>
    <n v="31"/>
    <x v="1"/>
    <x v="2"/>
    <x v="4"/>
    <x v="2"/>
    <x v="2"/>
    <x v="1"/>
    <x v="3"/>
    <x v="1"/>
  </r>
  <r>
    <n v="1374"/>
    <d v="2023-01-08T00:00:00"/>
    <x v="0"/>
    <x v="14"/>
    <n v="753"/>
    <n v="5"/>
    <n v="3765"/>
    <n v="41"/>
    <x v="1"/>
    <x v="0"/>
    <x v="3"/>
    <x v="1"/>
    <x v="2"/>
    <x v="1"/>
    <x v="2"/>
    <x v="1"/>
  </r>
  <r>
    <n v="1375"/>
    <d v="2023-07-01T00:00:00"/>
    <x v="6"/>
    <x v="18"/>
    <n v="906"/>
    <n v="5"/>
    <n v="4530"/>
    <n v="52"/>
    <x v="1"/>
    <x v="7"/>
    <x v="2"/>
    <x v="0"/>
    <x v="4"/>
    <x v="1"/>
    <x v="4"/>
    <x v="2"/>
  </r>
  <r>
    <n v="1376"/>
    <d v="2024-01-13T00:00:00"/>
    <x v="1"/>
    <x v="27"/>
    <n v="287"/>
    <n v="4"/>
    <n v="1148"/>
    <n v="48"/>
    <x v="0"/>
    <x v="3"/>
    <x v="3"/>
    <x v="3"/>
    <x v="1"/>
    <x v="1"/>
    <x v="2"/>
    <x v="1"/>
  </r>
  <r>
    <n v="1377"/>
    <d v="2023-02-09T00:00:00"/>
    <x v="5"/>
    <x v="17"/>
    <n v="1390"/>
    <n v="5"/>
    <n v="6950"/>
    <n v="28"/>
    <x v="0"/>
    <x v="8"/>
    <x v="5"/>
    <x v="2"/>
    <x v="1"/>
    <x v="1"/>
    <x v="6"/>
    <x v="0"/>
  </r>
  <r>
    <n v="1378"/>
    <d v="2023-11-21T00:00:00"/>
    <x v="4"/>
    <x v="6"/>
    <n v="818"/>
    <n v="2"/>
    <n v="1636"/>
    <n v="50"/>
    <x v="1"/>
    <x v="5"/>
    <x v="0"/>
    <x v="3"/>
    <x v="4"/>
    <x v="0"/>
    <x v="10"/>
    <x v="2"/>
  </r>
  <r>
    <n v="1379"/>
    <d v="2024-01-29T00:00:00"/>
    <x v="3"/>
    <x v="21"/>
    <n v="787"/>
    <n v="2"/>
    <n v="1574"/>
    <n v="44"/>
    <x v="0"/>
    <x v="8"/>
    <x v="5"/>
    <x v="0"/>
    <x v="0"/>
    <x v="0"/>
    <x v="2"/>
    <x v="1"/>
  </r>
  <r>
    <n v="1380"/>
    <d v="2023-09-09T00:00:00"/>
    <x v="2"/>
    <x v="5"/>
    <n v="211"/>
    <n v="5"/>
    <n v="1055"/>
    <n v="37"/>
    <x v="1"/>
    <x v="9"/>
    <x v="4"/>
    <x v="4"/>
    <x v="5"/>
    <x v="1"/>
    <x v="1"/>
    <x v="1"/>
  </r>
  <r>
    <n v="1381"/>
    <d v="2023-11-18T00:00:00"/>
    <x v="2"/>
    <x v="2"/>
    <n v="149"/>
    <n v="4"/>
    <n v="596"/>
    <n v="43"/>
    <x v="0"/>
    <x v="0"/>
    <x v="5"/>
    <x v="4"/>
    <x v="0"/>
    <x v="1"/>
    <x v="10"/>
    <x v="1"/>
  </r>
  <r>
    <n v="1382"/>
    <d v="2024-02-04T00:00:00"/>
    <x v="2"/>
    <x v="5"/>
    <n v="1013"/>
    <n v="2"/>
    <n v="2026"/>
    <n v="55"/>
    <x v="0"/>
    <x v="7"/>
    <x v="2"/>
    <x v="2"/>
    <x v="2"/>
    <x v="0"/>
    <x v="6"/>
    <x v="2"/>
  </r>
  <r>
    <n v="1383"/>
    <d v="2023-11-05T00:00:00"/>
    <x v="6"/>
    <x v="24"/>
    <n v="421"/>
    <n v="4"/>
    <n v="1684"/>
    <n v="45"/>
    <x v="0"/>
    <x v="6"/>
    <x v="5"/>
    <x v="0"/>
    <x v="5"/>
    <x v="0"/>
    <x v="10"/>
    <x v="1"/>
  </r>
  <r>
    <n v="1384"/>
    <d v="2023-03-09T00:00:00"/>
    <x v="6"/>
    <x v="24"/>
    <n v="579"/>
    <n v="5"/>
    <n v="2895"/>
    <n v="44"/>
    <x v="1"/>
    <x v="6"/>
    <x v="3"/>
    <x v="3"/>
    <x v="3"/>
    <x v="1"/>
    <x v="3"/>
    <x v="1"/>
  </r>
  <r>
    <n v="1385"/>
    <d v="2023-07-16T00:00:00"/>
    <x v="4"/>
    <x v="19"/>
    <n v="1295"/>
    <n v="1"/>
    <n v="1295"/>
    <n v="34"/>
    <x v="0"/>
    <x v="2"/>
    <x v="1"/>
    <x v="3"/>
    <x v="2"/>
    <x v="1"/>
    <x v="4"/>
    <x v="1"/>
  </r>
  <r>
    <n v="1386"/>
    <d v="2023-05-07T00:00:00"/>
    <x v="2"/>
    <x v="2"/>
    <n v="91"/>
    <n v="4"/>
    <n v="364"/>
    <n v="47"/>
    <x v="0"/>
    <x v="3"/>
    <x v="1"/>
    <x v="0"/>
    <x v="4"/>
    <x v="0"/>
    <x v="9"/>
    <x v="1"/>
  </r>
  <r>
    <n v="1387"/>
    <d v="2023-03-30T00:00:00"/>
    <x v="1"/>
    <x v="35"/>
    <n v="375"/>
    <n v="2"/>
    <n v="750"/>
    <n v="28"/>
    <x v="1"/>
    <x v="1"/>
    <x v="0"/>
    <x v="0"/>
    <x v="5"/>
    <x v="1"/>
    <x v="3"/>
    <x v="0"/>
  </r>
  <r>
    <n v="1388"/>
    <d v="2023-12-18T00:00:00"/>
    <x v="3"/>
    <x v="21"/>
    <n v="391"/>
    <n v="4"/>
    <n v="1564"/>
    <n v="49"/>
    <x v="0"/>
    <x v="6"/>
    <x v="2"/>
    <x v="0"/>
    <x v="1"/>
    <x v="1"/>
    <x v="11"/>
    <x v="1"/>
  </r>
  <r>
    <n v="1389"/>
    <d v="2023-06-03T00:00:00"/>
    <x v="1"/>
    <x v="27"/>
    <n v="1400"/>
    <n v="2"/>
    <n v="2800"/>
    <n v="23"/>
    <x v="1"/>
    <x v="0"/>
    <x v="5"/>
    <x v="1"/>
    <x v="1"/>
    <x v="1"/>
    <x v="5"/>
    <x v="0"/>
  </r>
  <r>
    <n v="1390"/>
    <d v="2024-01-23T00:00:00"/>
    <x v="5"/>
    <x v="32"/>
    <n v="120"/>
    <n v="2"/>
    <n v="240"/>
    <n v="58"/>
    <x v="0"/>
    <x v="6"/>
    <x v="5"/>
    <x v="0"/>
    <x v="1"/>
    <x v="1"/>
    <x v="2"/>
    <x v="2"/>
  </r>
  <r>
    <n v="1391"/>
    <d v="2023-09-29T00:00:00"/>
    <x v="3"/>
    <x v="26"/>
    <n v="64"/>
    <n v="3"/>
    <n v="192"/>
    <n v="53"/>
    <x v="1"/>
    <x v="0"/>
    <x v="0"/>
    <x v="0"/>
    <x v="0"/>
    <x v="0"/>
    <x v="1"/>
    <x v="2"/>
  </r>
  <r>
    <n v="1392"/>
    <d v="2023-06-17T00:00:00"/>
    <x v="6"/>
    <x v="18"/>
    <n v="100"/>
    <n v="3"/>
    <n v="300"/>
    <n v="43"/>
    <x v="1"/>
    <x v="0"/>
    <x v="4"/>
    <x v="2"/>
    <x v="4"/>
    <x v="0"/>
    <x v="5"/>
    <x v="1"/>
  </r>
  <r>
    <n v="1393"/>
    <d v="2023-11-05T00:00:00"/>
    <x v="2"/>
    <x v="2"/>
    <n v="657"/>
    <n v="5"/>
    <n v="3285"/>
    <n v="47"/>
    <x v="1"/>
    <x v="4"/>
    <x v="0"/>
    <x v="4"/>
    <x v="3"/>
    <x v="0"/>
    <x v="10"/>
    <x v="1"/>
  </r>
  <r>
    <n v="1394"/>
    <d v="2023-10-06T00:00:00"/>
    <x v="2"/>
    <x v="28"/>
    <n v="337"/>
    <n v="2"/>
    <n v="674"/>
    <n v="18"/>
    <x v="1"/>
    <x v="6"/>
    <x v="4"/>
    <x v="1"/>
    <x v="5"/>
    <x v="0"/>
    <x v="0"/>
    <x v="0"/>
  </r>
  <r>
    <n v="1395"/>
    <d v="2023-04-27T00:00:00"/>
    <x v="2"/>
    <x v="28"/>
    <n v="46"/>
    <n v="5"/>
    <n v="230"/>
    <n v="55"/>
    <x v="0"/>
    <x v="6"/>
    <x v="3"/>
    <x v="4"/>
    <x v="4"/>
    <x v="0"/>
    <x v="8"/>
    <x v="2"/>
  </r>
  <r>
    <n v="1396"/>
    <d v="2023-10-16T00:00:00"/>
    <x v="1"/>
    <x v="27"/>
    <n v="1026"/>
    <n v="4"/>
    <n v="4104"/>
    <n v="29"/>
    <x v="1"/>
    <x v="5"/>
    <x v="4"/>
    <x v="3"/>
    <x v="3"/>
    <x v="0"/>
    <x v="0"/>
    <x v="0"/>
  </r>
  <r>
    <n v="1397"/>
    <d v="2023-04-04T00:00:00"/>
    <x v="1"/>
    <x v="9"/>
    <n v="778"/>
    <n v="5"/>
    <n v="3890"/>
    <n v="57"/>
    <x v="1"/>
    <x v="5"/>
    <x v="5"/>
    <x v="0"/>
    <x v="0"/>
    <x v="0"/>
    <x v="8"/>
    <x v="2"/>
  </r>
  <r>
    <n v="1398"/>
    <d v="2023-11-17T00:00:00"/>
    <x v="5"/>
    <x v="15"/>
    <n v="1315"/>
    <n v="1"/>
    <n v="1315"/>
    <n v="19"/>
    <x v="0"/>
    <x v="6"/>
    <x v="2"/>
    <x v="4"/>
    <x v="0"/>
    <x v="0"/>
    <x v="10"/>
    <x v="0"/>
  </r>
  <r>
    <n v="1399"/>
    <d v="2023-08-31T00:00:00"/>
    <x v="4"/>
    <x v="13"/>
    <n v="1239"/>
    <n v="2"/>
    <n v="2478"/>
    <n v="47"/>
    <x v="0"/>
    <x v="7"/>
    <x v="0"/>
    <x v="0"/>
    <x v="3"/>
    <x v="0"/>
    <x v="7"/>
    <x v="1"/>
  </r>
  <r>
    <n v="1400"/>
    <d v="2023-02-22T00:00:00"/>
    <x v="4"/>
    <x v="13"/>
    <n v="1447"/>
    <n v="1"/>
    <n v="1447"/>
    <n v="29"/>
    <x v="1"/>
    <x v="7"/>
    <x v="3"/>
    <x v="1"/>
    <x v="3"/>
    <x v="0"/>
    <x v="6"/>
    <x v="0"/>
  </r>
  <r>
    <n v="1401"/>
    <d v="2023-01-12T00:00:00"/>
    <x v="0"/>
    <x v="22"/>
    <n v="316"/>
    <n v="1"/>
    <n v="316"/>
    <n v="56"/>
    <x v="0"/>
    <x v="9"/>
    <x v="4"/>
    <x v="2"/>
    <x v="5"/>
    <x v="0"/>
    <x v="2"/>
    <x v="2"/>
  </r>
  <r>
    <n v="1402"/>
    <d v="2023-09-22T00:00:00"/>
    <x v="2"/>
    <x v="28"/>
    <n v="1290"/>
    <n v="1"/>
    <n v="1290"/>
    <n v="41"/>
    <x v="1"/>
    <x v="4"/>
    <x v="0"/>
    <x v="3"/>
    <x v="3"/>
    <x v="1"/>
    <x v="1"/>
    <x v="1"/>
  </r>
  <r>
    <n v="1403"/>
    <d v="2023-10-01T00:00:00"/>
    <x v="4"/>
    <x v="4"/>
    <n v="1215"/>
    <n v="1"/>
    <n v="1215"/>
    <n v="31"/>
    <x v="1"/>
    <x v="6"/>
    <x v="0"/>
    <x v="2"/>
    <x v="4"/>
    <x v="0"/>
    <x v="0"/>
    <x v="1"/>
  </r>
  <r>
    <n v="1404"/>
    <d v="2023-04-15T00:00:00"/>
    <x v="1"/>
    <x v="1"/>
    <n v="634"/>
    <n v="4"/>
    <n v="2536"/>
    <n v="52"/>
    <x v="0"/>
    <x v="7"/>
    <x v="3"/>
    <x v="0"/>
    <x v="3"/>
    <x v="1"/>
    <x v="8"/>
    <x v="2"/>
  </r>
  <r>
    <n v="1405"/>
    <d v="2023-05-29T00:00:00"/>
    <x v="2"/>
    <x v="28"/>
    <n v="580"/>
    <n v="5"/>
    <n v="2900"/>
    <n v="58"/>
    <x v="1"/>
    <x v="1"/>
    <x v="2"/>
    <x v="0"/>
    <x v="5"/>
    <x v="1"/>
    <x v="9"/>
    <x v="2"/>
  </r>
  <r>
    <n v="1406"/>
    <d v="2023-08-16T00:00:00"/>
    <x v="3"/>
    <x v="25"/>
    <n v="160"/>
    <n v="5"/>
    <n v="800"/>
    <n v="52"/>
    <x v="1"/>
    <x v="0"/>
    <x v="1"/>
    <x v="3"/>
    <x v="4"/>
    <x v="1"/>
    <x v="7"/>
    <x v="2"/>
  </r>
  <r>
    <n v="1407"/>
    <d v="2023-12-07T00:00:00"/>
    <x v="0"/>
    <x v="10"/>
    <n v="373"/>
    <n v="3"/>
    <n v="1119"/>
    <n v="57"/>
    <x v="1"/>
    <x v="3"/>
    <x v="1"/>
    <x v="4"/>
    <x v="1"/>
    <x v="0"/>
    <x v="11"/>
    <x v="2"/>
  </r>
  <r>
    <n v="1408"/>
    <d v="2023-12-27T00:00:00"/>
    <x v="6"/>
    <x v="18"/>
    <n v="500"/>
    <n v="3"/>
    <n v="1500"/>
    <n v="23"/>
    <x v="0"/>
    <x v="0"/>
    <x v="4"/>
    <x v="3"/>
    <x v="1"/>
    <x v="1"/>
    <x v="11"/>
    <x v="0"/>
  </r>
  <r>
    <n v="1409"/>
    <d v="2023-01-07T00:00:00"/>
    <x v="2"/>
    <x v="30"/>
    <n v="1302"/>
    <n v="1"/>
    <n v="1302"/>
    <n v="39"/>
    <x v="1"/>
    <x v="5"/>
    <x v="4"/>
    <x v="0"/>
    <x v="4"/>
    <x v="1"/>
    <x v="2"/>
    <x v="1"/>
  </r>
  <r>
    <n v="1410"/>
    <d v="2023-07-09T00:00:00"/>
    <x v="3"/>
    <x v="3"/>
    <n v="1439"/>
    <n v="4"/>
    <n v="5756"/>
    <n v="33"/>
    <x v="0"/>
    <x v="8"/>
    <x v="2"/>
    <x v="0"/>
    <x v="0"/>
    <x v="0"/>
    <x v="4"/>
    <x v="1"/>
  </r>
  <r>
    <n v="1411"/>
    <d v="2023-06-27T00:00:00"/>
    <x v="2"/>
    <x v="5"/>
    <n v="684"/>
    <n v="4"/>
    <n v="2736"/>
    <n v="54"/>
    <x v="0"/>
    <x v="5"/>
    <x v="2"/>
    <x v="0"/>
    <x v="2"/>
    <x v="0"/>
    <x v="5"/>
    <x v="2"/>
  </r>
  <r>
    <n v="1412"/>
    <d v="2023-12-12T00:00:00"/>
    <x v="4"/>
    <x v="4"/>
    <n v="1396"/>
    <n v="1"/>
    <n v="1396"/>
    <n v="30"/>
    <x v="0"/>
    <x v="7"/>
    <x v="0"/>
    <x v="0"/>
    <x v="3"/>
    <x v="1"/>
    <x v="11"/>
    <x v="1"/>
  </r>
  <r>
    <n v="1413"/>
    <d v="2023-12-10T00:00:00"/>
    <x v="5"/>
    <x v="7"/>
    <n v="440"/>
    <n v="5"/>
    <n v="2200"/>
    <n v="37"/>
    <x v="1"/>
    <x v="1"/>
    <x v="4"/>
    <x v="3"/>
    <x v="4"/>
    <x v="0"/>
    <x v="11"/>
    <x v="1"/>
  </r>
  <r>
    <n v="1414"/>
    <d v="2023-12-21T00:00:00"/>
    <x v="1"/>
    <x v="27"/>
    <n v="44"/>
    <n v="2"/>
    <n v="88"/>
    <n v="60"/>
    <x v="1"/>
    <x v="9"/>
    <x v="0"/>
    <x v="3"/>
    <x v="0"/>
    <x v="1"/>
    <x v="11"/>
    <x v="2"/>
  </r>
  <r>
    <n v="1415"/>
    <d v="2023-02-26T00:00:00"/>
    <x v="3"/>
    <x v="25"/>
    <n v="741"/>
    <n v="3"/>
    <n v="2223"/>
    <n v="21"/>
    <x v="1"/>
    <x v="1"/>
    <x v="0"/>
    <x v="2"/>
    <x v="3"/>
    <x v="1"/>
    <x v="6"/>
    <x v="0"/>
  </r>
  <r>
    <n v="1416"/>
    <d v="2023-03-10T00:00:00"/>
    <x v="4"/>
    <x v="6"/>
    <n v="1327"/>
    <n v="1"/>
    <n v="1327"/>
    <n v="59"/>
    <x v="1"/>
    <x v="2"/>
    <x v="1"/>
    <x v="1"/>
    <x v="5"/>
    <x v="1"/>
    <x v="3"/>
    <x v="2"/>
  </r>
  <r>
    <n v="1417"/>
    <d v="2023-04-07T00:00:00"/>
    <x v="0"/>
    <x v="12"/>
    <n v="1084"/>
    <n v="5"/>
    <n v="5420"/>
    <n v="50"/>
    <x v="1"/>
    <x v="7"/>
    <x v="0"/>
    <x v="2"/>
    <x v="1"/>
    <x v="0"/>
    <x v="8"/>
    <x v="2"/>
  </r>
  <r>
    <n v="1418"/>
    <d v="2023-12-06T00:00:00"/>
    <x v="4"/>
    <x v="13"/>
    <n v="549"/>
    <n v="2"/>
    <n v="1098"/>
    <n v="42"/>
    <x v="0"/>
    <x v="5"/>
    <x v="0"/>
    <x v="2"/>
    <x v="2"/>
    <x v="1"/>
    <x v="11"/>
    <x v="1"/>
  </r>
  <r>
    <n v="1419"/>
    <d v="2023-10-27T00:00:00"/>
    <x v="3"/>
    <x v="21"/>
    <n v="872"/>
    <n v="3"/>
    <n v="2616"/>
    <n v="58"/>
    <x v="0"/>
    <x v="2"/>
    <x v="0"/>
    <x v="4"/>
    <x v="0"/>
    <x v="0"/>
    <x v="0"/>
    <x v="2"/>
  </r>
  <r>
    <n v="1420"/>
    <d v="2023-06-27T00:00:00"/>
    <x v="5"/>
    <x v="15"/>
    <n v="919"/>
    <n v="1"/>
    <n v="919"/>
    <n v="37"/>
    <x v="1"/>
    <x v="8"/>
    <x v="4"/>
    <x v="0"/>
    <x v="1"/>
    <x v="1"/>
    <x v="5"/>
    <x v="1"/>
  </r>
  <r>
    <n v="1421"/>
    <d v="2023-03-09T00:00:00"/>
    <x v="5"/>
    <x v="15"/>
    <n v="199"/>
    <n v="1"/>
    <n v="199"/>
    <n v="38"/>
    <x v="0"/>
    <x v="5"/>
    <x v="4"/>
    <x v="1"/>
    <x v="2"/>
    <x v="0"/>
    <x v="3"/>
    <x v="1"/>
  </r>
  <r>
    <n v="1422"/>
    <d v="2023-06-22T00:00:00"/>
    <x v="2"/>
    <x v="30"/>
    <n v="610"/>
    <n v="2"/>
    <n v="1220"/>
    <n v="34"/>
    <x v="1"/>
    <x v="3"/>
    <x v="4"/>
    <x v="0"/>
    <x v="2"/>
    <x v="1"/>
    <x v="5"/>
    <x v="1"/>
  </r>
  <r>
    <n v="1423"/>
    <d v="2023-10-29T00:00:00"/>
    <x v="0"/>
    <x v="12"/>
    <n v="1100"/>
    <n v="3"/>
    <n v="3300"/>
    <n v="59"/>
    <x v="0"/>
    <x v="4"/>
    <x v="0"/>
    <x v="0"/>
    <x v="3"/>
    <x v="0"/>
    <x v="0"/>
    <x v="2"/>
  </r>
  <r>
    <n v="1424"/>
    <d v="2023-02-16T00:00:00"/>
    <x v="4"/>
    <x v="6"/>
    <n v="1096"/>
    <n v="4"/>
    <n v="4384"/>
    <n v="26"/>
    <x v="0"/>
    <x v="9"/>
    <x v="4"/>
    <x v="1"/>
    <x v="0"/>
    <x v="0"/>
    <x v="6"/>
    <x v="0"/>
  </r>
  <r>
    <n v="1425"/>
    <d v="2023-02-23T00:00:00"/>
    <x v="6"/>
    <x v="16"/>
    <n v="598"/>
    <n v="2"/>
    <n v="1196"/>
    <n v="51"/>
    <x v="0"/>
    <x v="5"/>
    <x v="2"/>
    <x v="0"/>
    <x v="0"/>
    <x v="0"/>
    <x v="6"/>
    <x v="2"/>
  </r>
  <r>
    <n v="1426"/>
    <d v="2023-04-11T00:00:00"/>
    <x v="5"/>
    <x v="7"/>
    <n v="1441"/>
    <n v="1"/>
    <n v="1441"/>
    <n v="51"/>
    <x v="1"/>
    <x v="7"/>
    <x v="4"/>
    <x v="1"/>
    <x v="2"/>
    <x v="1"/>
    <x v="8"/>
    <x v="2"/>
  </r>
  <r>
    <n v="1427"/>
    <d v="2023-11-17T00:00:00"/>
    <x v="2"/>
    <x v="28"/>
    <n v="1365"/>
    <n v="2"/>
    <n v="2730"/>
    <n v="55"/>
    <x v="1"/>
    <x v="5"/>
    <x v="0"/>
    <x v="4"/>
    <x v="1"/>
    <x v="1"/>
    <x v="10"/>
    <x v="2"/>
  </r>
  <r>
    <n v="1428"/>
    <d v="2023-12-17T00:00:00"/>
    <x v="6"/>
    <x v="33"/>
    <n v="545"/>
    <n v="3"/>
    <n v="1635"/>
    <n v="44"/>
    <x v="1"/>
    <x v="9"/>
    <x v="1"/>
    <x v="3"/>
    <x v="4"/>
    <x v="1"/>
    <x v="11"/>
    <x v="1"/>
  </r>
  <r>
    <n v="1429"/>
    <d v="2023-01-26T00:00:00"/>
    <x v="5"/>
    <x v="11"/>
    <n v="908"/>
    <n v="1"/>
    <n v="908"/>
    <n v="55"/>
    <x v="0"/>
    <x v="3"/>
    <x v="0"/>
    <x v="0"/>
    <x v="5"/>
    <x v="0"/>
    <x v="2"/>
    <x v="2"/>
  </r>
  <r>
    <n v="1430"/>
    <d v="2023-09-01T00:00:00"/>
    <x v="4"/>
    <x v="29"/>
    <n v="333"/>
    <n v="4"/>
    <n v="1332"/>
    <n v="32"/>
    <x v="0"/>
    <x v="7"/>
    <x v="4"/>
    <x v="3"/>
    <x v="0"/>
    <x v="1"/>
    <x v="1"/>
    <x v="1"/>
  </r>
  <r>
    <n v="1431"/>
    <d v="2023-08-13T00:00:00"/>
    <x v="3"/>
    <x v="21"/>
    <n v="187"/>
    <n v="5"/>
    <n v="935"/>
    <n v="27"/>
    <x v="1"/>
    <x v="5"/>
    <x v="2"/>
    <x v="2"/>
    <x v="0"/>
    <x v="1"/>
    <x v="7"/>
    <x v="0"/>
  </r>
  <r>
    <n v="1432"/>
    <d v="2023-08-18T00:00:00"/>
    <x v="1"/>
    <x v="1"/>
    <n v="617"/>
    <n v="1"/>
    <n v="617"/>
    <n v="39"/>
    <x v="0"/>
    <x v="2"/>
    <x v="2"/>
    <x v="4"/>
    <x v="5"/>
    <x v="1"/>
    <x v="7"/>
    <x v="1"/>
  </r>
  <r>
    <n v="1433"/>
    <d v="2023-09-20T00:00:00"/>
    <x v="4"/>
    <x v="19"/>
    <n v="1178"/>
    <n v="5"/>
    <n v="5890"/>
    <n v="25"/>
    <x v="1"/>
    <x v="7"/>
    <x v="2"/>
    <x v="1"/>
    <x v="4"/>
    <x v="1"/>
    <x v="1"/>
    <x v="0"/>
  </r>
  <r>
    <n v="1434"/>
    <d v="2023-11-03T00:00:00"/>
    <x v="3"/>
    <x v="3"/>
    <n v="1144"/>
    <n v="2"/>
    <n v="2288"/>
    <n v="42"/>
    <x v="0"/>
    <x v="3"/>
    <x v="0"/>
    <x v="2"/>
    <x v="0"/>
    <x v="0"/>
    <x v="10"/>
    <x v="1"/>
  </r>
  <r>
    <n v="1435"/>
    <d v="2023-07-18T00:00:00"/>
    <x v="6"/>
    <x v="33"/>
    <n v="1365"/>
    <n v="1"/>
    <n v="1365"/>
    <n v="34"/>
    <x v="0"/>
    <x v="4"/>
    <x v="0"/>
    <x v="3"/>
    <x v="2"/>
    <x v="0"/>
    <x v="4"/>
    <x v="1"/>
  </r>
  <r>
    <n v="1436"/>
    <d v="2023-11-16T00:00:00"/>
    <x v="2"/>
    <x v="20"/>
    <n v="180"/>
    <n v="5"/>
    <n v="900"/>
    <n v="58"/>
    <x v="1"/>
    <x v="7"/>
    <x v="0"/>
    <x v="0"/>
    <x v="5"/>
    <x v="1"/>
    <x v="10"/>
    <x v="2"/>
  </r>
  <r>
    <n v="1437"/>
    <d v="2023-08-04T00:00:00"/>
    <x v="1"/>
    <x v="9"/>
    <n v="288"/>
    <n v="1"/>
    <n v="288"/>
    <n v="36"/>
    <x v="0"/>
    <x v="8"/>
    <x v="1"/>
    <x v="4"/>
    <x v="5"/>
    <x v="1"/>
    <x v="7"/>
    <x v="1"/>
  </r>
  <r>
    <n v="1438"/>
    <d v="2023-12-25T00:00:00"/>
    <x v="5"/>
    <x v="17"/>
    <n v="34"/>
    <n v="1"/>
    <n v="34"/>
    <n v="43"/>
    <x v="0"/>
    <x v="5"/>
    <x v="4"/>
    <x v="3"/>
    <x v="1"/>
    <x v="1"/>
    <x v="11"/>
    <x v="1"/>
  </r>
  <r>
    <n v="1439"/>
    <d v="2023-08-25T00:00:00"/>
    <x v="0"/>
    <x v="14"/>
    <n v="1250"/>
    <n v="2"/>
    <n v="2500"/>
    <n v="46"/>
    <x v="0"/>
    <x v="8"/>
    <x v="4"/>
    <x v="0"/>
    <x v="5"/>
    <x v="1"/>
    <x v="7"/>
    <x v="1"/>
  </r>
  <r>
    <n v="1440"/>
    <d v="2023-11-21T00:00:00"/>
    <x v="2"/>
    <x v="30"/>
    <n v="1271"/>
    <n v="5"/>
    <n v="6355"/>
    <n v="23"/>
    <x v="0"/>
    <x v="5"/>
    <x v="3"/>
    <x v="4"/>
    <x v="4"/>
    <x v="1"/>
    <x v="10"/>
    <x v="0"/>
  </r>
  <r>
    <n v="1441"/>
    <d v="2023-05-31T00:00:00"/>
    <x v="0"/>
    <x v="34"/>
    <n v="242"/>
    <n v="2"/>
    <n v="484"/>
    <n v="39"/>
    <x v="1"/>
    <x v="0"/>
    <x v="2"/>
    <x v="3"/>
    <x v="3"/>
    <x v="1"/>
    <x v="9"/>
    <x v="1"/>
  </r>
  <r>
    <n v="1442"/>
    <d v="2023-01-17T00:00:00"/>
    <x v="3"/>
    <x v="26"/>
    <n v="150"/>
    <n v="2"/>
    <n v="300"/>
    <n v="27"/>
    <x v="0"/>
    <x v="9"/>
    <x v="2"/>
    <x v="2"/>
    <x v="5"/>
    <x v="0"/>
    <x v="2"/>
    <x v="0"/>
  </r>
  <r>
    <n v="1443"/>
    <d v="2023-02-14T00:00:00"/>
    <x v="5"/>
    <x v="17"/>
    <n v="463"/>
    <n v="4"/>
    <n v="1852"/>
    <n v="36"/>
    <x v="1"/>
    <x v="6"/>
    <x v="5"/>
    <x v="2"/>
    <x v="4"/>
    <x v="0"/>
    <x v="6"/>
    <x v="1"/>
  </r>
  <r>
    <n v="1444"/>
    <d v="2023-09-27T00:00:00"/>
    <x v="3"/>
    <x v="3"/>
    <n v="604"/>
    <n v="4"/>
    <n v="2416"/>
    <n v="24"/>
    <x v="1"/>
    <x v="2"/>
    <x v="0"/>
    <x v="1"/>
    <x v="5"/>
    <x v="1"/>
    <x v="1"/>
    <x v="0"/>
  </r>
  <r>
    <n v="1445"/>
    <d v="2023-10-30T00:00:00"/>
    <x v="4"/>
    <x v="29"/>
    <n v="1452"/>
    <n v="2"/>
    <n v="2904"/>
    <n v="55"/>
    <x v="1"/>
    <x v="4"/>
    <x v="4"/>
    <x v="4"/>
    <x v="0"/>
    <x v="1"/>
    <x v="0"/>
    <x v="2"/>
  </r>
  <r>
    <n v="1446"/>
    <d v="2024-01-22T00:00:00"/>
    <x v="5"/>
    <x v="15"/>
    <n v="398"/>
    <n v="1"/>
    <n v="398"/>
    <n v="21"/>
    <x v="0"/>
    <x v="4"/>
    <x v="4"/>
    <x v="3"/>
    <x v="1"/>
    <x v="1"/>
    <x v="2"/>
    <x v="0"/>
  </r>
  <r>
    <n v="1447"/>
    <d v="2023-01-31T00:00:00"/>
    <x v="4"/>
    <x v="6"/>
    <n v="340"/>
    <n v="4"/>
    <n v="1360"/>
    <n v="31"/>
    <x v="0"/>
    <x v="6"/>
    <x v="3"/>
    <x v="2"/>
    <x v="2"/>
    <x v="1"/>
    <x v="2"/>
    <x v="1"/>
  </r>
  <r>
    <n v="1448"/>
    <d v="2024-01-23T00:00:00"/>
    <x v="3"/>
    <x v="23"/>
    <n v="896"/>
    <n v="2"/>
    <n v="1792"/>
    <n v="60"/>
    <x v="1"/>
    <x v="1"/>
    <x v="3"/>
    <x v="0"/>
    <x v="4"/>
    <x v="0"/>
    <x v="2"/>
    <x v="2"/>
  </r>
  <r>
    <n v="1449"/>
    <d v="2023-06-17T00:00:00"/>
    <x v="3"/>
    <x v="21"/>
    <n v="126"/>
    <n v="2"/>
    <n v="252"/>
    <n v="31"/>
    <x v="1"/>
    <x v="4"/>
    <x v="2"/>
    <x v="4"/>
    <x v="2"/>
    <x v="1"/>
    <x v="5"/>
    <x v="1"/>
  </r>
  <r>
    <n v="1450"/>
    <d v="2023-04-09T00:00:00"/>
    <x v="2"/>
    <x v="2"/>
    <n v="929"/>
    <n v="4"/>
    <n v="3716"/>
    <n v="47"/>
    <x v="1"/>
    <x v="8"/>
    <x v="2"/>
    <x v="4"/>
    <x v="0"/>
    <x v="0"/>
    <x v="8"/>
    <x v="1"/>
  </r>
  <r>
    <n v="1451"/>
    <d v="2023-01-26T00:00:00"/>
    <x v="1"/>
    <x v="27"/>
    <n v="607"/>
    <n v="3"/>
    <n v="1821"/>
    <n v="52"/>
    <x v="1"/>
    <x v="6"/>
    <x v="1"/>
    <x v="4"/>
    <x v="2"/>
    <x v="0"/>
    <x v="2"/>
    <x v="2"/>
  </r>
  <r>
    <n v="1452"/>
    <d v="2024-02-05T00:00:00"/>
    <x v="3"/>
    <x v="21"/>
    <n v="914"/>
    <n v="2"/>
    <n v="1828"/>
    <n v="45"/>
    <x v="0"/>
    <x v="4"/>
    <x v="3"/>
    <x v="4"/>
    <x v="4"/>
    <x v="0"/>
    <x v="6"/>
    <x v="1"/>
  </r>
  <r>
    <n v="1453"/>
    <d v="2023-12-27T00:00:00"/>
    <x v="6"/>
    <x v="33"/>
    <n v="535"/>
    <n v="4"/>
    <n v="2140"/>
    <n v="28"/>
    <x v="1"/>
    <x v="3"/>
    <x v="1"/>
    <x v="3"/>
    <x v="2"/>
    <x v="0"/>
    <x v="11"/>
    <x v="0"/>
  </r>
  <r>
    <n v="1454"/>
    <d v="2023-02-25T00:00:00"/>
    <x v="2"/>
    <x v="2"/>
    <n v="1092"/>
    <n v="3"/>
    <n v="3276"/>
    <n v="56"/>
    <x v="1"/>
    <x v="6"/>
    <x v="4"/>
    <x v="3"/>
    <x v="4"/>
    <x v="0"/>
    <x v="6"/>
    <x v="2"/>
  </r>
  <r>
    <n v="1455"/>
    <d v="2023-09-08T00:00:00"/>
    <x v="5"/>
    <x v="11"/>
    <n v="169"/>
    <n v="4"/>
    <n v="676"/>
    <n v="26"/>
    <x v="0"/>
    <x v="1"/>
    <x v="1"/>
    <x v="3"/>
    <x v="4"/>
    <x v="0"/>
    <x v="1"/>
    <x v="0"/>
  </r>
  <r>
    <n v="1456"/>
    <d v="2023-11-03T00:00:00"/>
    <x v="2"/>
    <x v="20"/>
    <n v="906"/>
    <n v="3"/>
    <n v="2718"/>
    <n v="40"/>
    <x v="1"/>
    <x v="2"/>
    <x v="5"/>
    <x v="2"/>
    <x v="4"/>
    <x v="0"/>
    <x v="10"/>
    <x v="1"/>
  </r>
  <r>
    <n v="1457"/>
    <d v="2023-09-04T00:00:00"/>
    <x v="4"/>
    <x v="29"/>
    <n v="707"/>
    <n v="4"/>
    <n v="2828"/>
    <n v="55"/>
    <x v="0"/>
    <x v="1"/>
    <x v="2"/>
    <x v="4"/>
    <x v="3"/>
    <x v="0"/>
    <x v="1"/>
    <x v="2"/>
  </r>
  <r>
    <n v="1458"/>
    <d v="2023-06-04T00:00:00"/>
    <x v="6"/>
    <x v="16"/>
    <n v="322"/>
    <n v="3"/>
    <n v="966"/>
    <n v="55"/>
    <x v="1"/>
    <x v="5"/>
    <x v="4"/>
    <x v="0"/>
    <x v="5"/>
    <x v="0"/>
    <x v="5"/>
    <x v="2"/>
  </r>
  <r>
    <n v="1459"/>
    <d v="2023-05-03T00:00:00"/>
    <x v="2"/>
    <x v="20"/>
    <n v="1072"/>
    <n v="1"/>
    <n v="1072"/>
    <n v="37"/>
    <x v="1"/>
    <x v="2"/>
    <x v="5"/>
    <x v="3"/>
    <x v="5"/>
    <x v="1"/>
    <x v="9"/>
    <x v="1"/>
  </r>
  <r>
    <n v="1460"/>
    <d v="2023-07-20T00:00:00"/>
    <x v="6"/>
    <x v="24"/>
    <n v="912"/>
    <n v="4"/>
    <n v="3648"/>
    <n v="44"/>
    <x v="0"/>
    <x v="9"/>
    <x v="3"/>
    <x v="1"/>
    <x v="2"/>
    <x v="1"/>
    <x v="4"/>
    <x v="1"/>
  </r>
  <r>
    <n v="1461"/>
    <d v="2023-01-05T00:00:00"/>
    <x v="3"/>
    <x v="3"/>
    <n v="1410"/>
    <n v="1"/>
    <n v="1410"/>
    <n v="37"/>
    <x v="0"/>
    <x v="7"/>
    <x v="4"/>
    <x v="0"/>
    <x v="2"/>
    <x v="1"/>
    <x v="2"/>
    <x v="1"/>
  </r>
  <r>
    <n v="1462"/>
    <d v="2023-09-06T00:00:00"/>
    <x v="6"/>
    <x v="33"/>
    <n v="1442"/>
    <n v="4"/>
    <n v="5768"/>
    <n v="39"/>
    <x v="0"/>
    <x v="0"/>
    <x v="2"/>
    <x v="0"/>
    <x v="1"/>
    <x v="0"/>
    <x v="1"/>
    <x v="1"/>
  </r>
  <r>
    <n v="1463"/>
    <d v="2023-05-23T00:00:00"/>
    <x v="2"/>
    <x v="30"/>
    <n v="24"/>
    <n v="5"/>
    <n v="120"/>
    <n v="35"/>
    <x v="0"/>
    <x v="9"/>
    <x v="2"/>
    <x v="2"/>
    <x v="3"/>
    <x v="0"/>
    <x v="9"/>
    <x v="1"/>
  </r>
  <r>
    <n v="1464"/>
    <d v="2023-11-26T00:00:00"/>
    <x v="4"/>
    <x v="29"/>
    <n v="673"/>
    <n v="2"/>
    <n v="1346"/>
    <n v="36"/>
    <x v="0"/>
    <x v="8"/>
    <x v="0"/>
    <x v="4"/>
    <x v="1"/>
    <x v="0"/>
    <x v="10"/>
    <x v="1"/>
  </r>
  <r>
    <n v="1465"/>
    <d v="2023-10-29T00:00:00"/>
    <x v="4"/>
    <x v="29"/>
    <n v="1189"/>
    <n v="1"/>
    <n v="1189"/>
    <n v="57"/>
    <x v="0"/>
    <x v="1"/>
    <x v="3"/>
    <x v="1"/>
    <x v="5"/>
    <x v="0"/>
    <x v="0"/>
    <x v="2"/>
  </r>
  <r>
    <n v="1466"/>
    <d v="2023-05-18T00:00:00"/>
    <x v="6"/>
    <x v="8"/>
    <n v="671"/>
    <n v="4"/>
    <n v="2684"/>
    <n v="58"/>
    <x v="1"/>
    <x v="4"/>
    <x v="5"/>
    <x v="3"/>
    <x v="2"/>
    <x v="1"/>
    <x v="9"/>
    <x v="2"/>
  </r>
  <r>
    <n v="1467"/>
    <d v="2023-08-08T00:00:00"/>
    <x v="0"/>
    <x v="10"/>
    <n v="1053"/>
    <n v="2"/>
    <n v="2106"/>
    <n v="47"/>
    <x v="1"/>
    <x v="4"/>
    <x v="5"/>
    <x v="3"/>
    <x v="1"/>
    <x v="1"/>
    <x v="7"/>
    <x v="1"/>
  </r>
  <r>
    <n v="1468"/>
    <d v="2023-09-17T00:00:00"/>
    <x v="2"/>
    <x v="28"/>
    <n v="1395"/>
    <n v="2"/>
    <n v="2790"/>
    <n v="57"/>
    <x v="1"/>
    <x v="1"/>
    <x v="3"/>
    <x v="4"/>
    <x v="5"/>
    <x v="1"/>
    <x v="1"/>
    <x v="2"/>
  </r>
  <r>
    <n v="1469"/>
    <d v="2023-08-09T00:00:00"/>
    <x v="6"/>
    <x v="18"/>
    <n v="1462"/>
    <n v="1"/>
    <n v="1462"/>
    <n v="59"/>
    <x v="0"/>
    <x v="6"/>
    <x v="5"/>
    <x v="4"/>
    <x v="3"/>
    <x v="1"/>
    <x v="7"/>
    <x v="2"/>
  </r>
  <r>
    <n v="1470"/>
    <d v="2023-01-14T00:00:00"/>
    <x v="0"/>
    <x v="12"/>
    <n v="441"/>
    <n v="2"/>
    <n v="882"/>
    <n v="48"/>
    <x v="1"/>
    <x v="7"/>
    <x v="2"/>
    <x v="0"/>
    <x v="2"/>
    <x v="0"/>
    <x v="2"/>
    <x v="1"/>
  </r>
  <r>
    <n v="1471"/>
    <d v="2023-09-29T00:00:00"/>
    <x v="6"/>
    <x v="8"/>
    <n v="1006"/>
    <n v="2"/>
    <n v="2012"/>
    <n v="54"/>
    <x v="0"/>
    <x v="3"/>
    <x v="0"/>
    <x v="0"/>
    <x v="1"/>
    <x v="0"/>
    <x v="1"/>
    <x v="2"/>
  </r>
  <r>
    <n v="1472"/>
    <d v="2023-06-12T00:00:00"/>
    <x v="3"/>
    <x v="26"/>
    <n v="346"/>
    <n v="4"/>
    <n v="1384"/>
    <n v="49"/>
    <x v="1"/>
    <x v="3"/>
    <x v="3"/>
    <x v="4"/>
    <x v="1"/>
    <x v="1"/>
    <x v="5"/>
    <x v="1"/>
  </r>
  <r>
    <n v="1473"/>
    <d v="2023-11-20T00:00:00"/>
    <x v="6"/>
    <x v="18"/>
    <n v="801"/>
    <n v="5"/>
    <n v="4005"/>
    <n v="47"/>
    <x v="0"/>
    <x v="4"/>
    <x v="3"/>
    <x v="1"/>
    <x v="0"/>
    <x v="0"/>
    <x v="10"/>
    <x v="1"/>
  </r>
  <r>
    <n v="1474"/>
    <d v="2023-02-26T00:00:00"/>
    <x v="1"/>
    <x v="9"/>
    <n v="530"/>
    <n v="5"/>
    <n v="2650"/>
    <n v="36"/>
    <x v="1"/>
    <x v="8"/>
    <x v="1"/>
    <x v="4"/>
    <x v="5"/>
    <x v="1"/>
    <x v="6"/>
    <x v="1"/>
  </r>
  <r>
    <n v="1475"/>
    <d v="2023-06-19T00:00:00"/>
    <x v="0"/>
    <x v="12"/>
    <n v="21"/>
    <n v="5"/>
    <n v="105"/>
    <n v="25"/>
    <x v="0"/>
    <x v="5"/>
    <x v="2"/>
    <x v="2"/>
    <x v="0"/>
    <x v="1"/>
    <x v="5"/>
    <x v="0"/>
  </r>
  <r>
    <n v="1476"/>
    <d v="2023-11-14T00:00:00"/>
    <x v="5"/>
    <x v="11"/>
    <n v="1227"/>
    <n v="2"/>
    <n v="2454"/>
    <n v="18"/>
    <x v="0"/>
    <x v="1"/>
    <x v="1"/>
    <x v="1"/>
    <x v="5"/>
    <x v="1"/>
    <x v="10"/>
    <x v="0"/>
  </r>
  <r>
    <n v="1477"/>
    <d v="2023-11-19T00:00:00"/>
    <x v="0"/>
    <x v="12"/>
    <n v="363"/>
    <n v="5"/>
    <n v="1815"/>
    <n v="49"/>
    <x v="0"/>
    <x v="0"/>
    <x v="3"/>
    <x v="4"/>
    <x v="0"/>
    <x v="0"/>
    <x v="10"/>
    <x v="1"/>
  </r>
  <r>
    <n v="1478"/>
    <d v="2023-10-05T00:00:00"/>
    <x v="2"/>
    <x v="20"/>
    <n v="852"/>
    <n v="3"/>
    <n v="2556"/>
    <n v="39"/>
    <x v="1"/>
    <x v="6"/>
    <x v="0"/>
    <x v="4"/>
    <x v="3"/>
    <x v="0"/>
    <x v="0"/>
    <x v="1"/>
  </r>
  <r>
    <n v="1479"/>
    <d v="2023-09-07T00:00:00"/>
    <x v="6"/>
    <x v="33"/>
    <n v="327"/>
    <n v="5"/>
    <n v="1635"/>
    <n v="29"/>
    <x v="1"/>
    <x v="7"/>
    <x v="0"/>
    <x v="1"/>
    <x v="1"/>
    <x v="0"/>
    <x v="1"/>
    <x v="0"/>
  </r>
  <r>
    <n v="1480"/>
    <d v="2023-11-05T00:00:00"/>
    <x v="2"/>
    <x v="28"/>
    <n v="1383"/>
    <n v="4"/>
    <n v="5532"/>
    <n v="35"/>
    <x v="1"/>
    <x v="2"/>
    <x v="5"/>
    <x v="2"/>
    <x v="3"/>
    <x v="1"/>
    <x v="10"/>
    <x v="1"/>
  </r>
  <r>
    <n v="1481"/>
    <d v="2023-06-20T00:00:00"/>
    <x v="4"/>
    <x v="13"/>
    <n v="758"/>
    <n v="4"/>
    <n v="3032"/>
    <n v="57"/>
    <x v="0"/>
    <x v="6"/>
    <x v="0"/>
    <x v="1"/>
    <x v="4"/>
    <x v="1"/>
    <x v="5"/>
    <x v="2"/>
  </r>
  <r>
    <n v="1482"/>
    <d v="2023-07-02T00:00:00"/>
    <x v="0"/>
    <x v="34"/>
    <n v="1271"/>
    <n v="2"/>
    <n v="2542"/>
    <n v="33"/>
    <x v="0"/>
    <x v="5"/>
    <x v="2"/>
    <x v="0"/>
    <x v="3"/>
    <x v="0"/>
    <x v="4"/>
    <x v="1"/>
  </r>
  <r>
    <n v="1483"/>
    <d v="2023-05-23T00:00:00"/>
    <x v="6"/>
    <x v="16"/>
    <n v="951"/>
    <n v="1"/>
    <n v="951"/>
    <n v="27"/>
    <x v="0"/>
    <x v="8"/>
    <x v="2"/>
    <x v="2"/>
    <x v="0"/>
    <x v="1"/>
    <x v="9"/>
    <x v="0"/>
  </r>
  <r>
    <n v="1484"/>
    <d v="2023-10-24T00:00:00"/>
    <x v="1"/>
    <x v="9"/>
    <n v="383"/>
    <n v="5"/>
    <n v="1915"/>
    <n v="20"/>
    <x v="0"/>
    <x v="0"/>
    <x v="4"/>
    <x v="3"/>
    <x v="3"/>
    <x v="1"/>
    <x v="0"/>
    <x v="0"/>
  </r>
  <r>
    <n v="1485"/>
    <d v="2023-12-31T00:00:00"/>
    <x v="5"/>
    <x v="17"/>
    <n v="153"/>
    <n v="5"/>
    <n v="765"/>
    <n v="44"/>
    <x v="1"/>
    <x v="9"/>
    <x v="2"/>
    <x v="2"/>
    <x v="3"/>
    <x v="0"/>
    <x v="11"/>
    <x v="1"/>
  </r>
  <r>
    <n v="1486"/>
    <d v="2023-08-24T00:00:00"/>
    <x v="1"/>
    <x v="27"/>
    <n v="1345"/>
    <n v="5"/>
    <n v="6725"/>
    <n v="43"/>
    <x v="1"/>
    <x v="6"/>
    <x v="1"/>
    <x v="1"/>
    <x v="0"/>
    <x v="0"/>
    <x v="7"/>
    <x v="1"/>
  </r>
  <r>
    <n v="1487"/>
    <d v="2023-02-22T00:00:00"/>
    <x v="5"/>
    <x v="15"/>
    <n v="1438"/>
    <n v="1"/>
    <n v="1438"/>
    <n v="59"/>
    <x v="1"/>
    <x v="3"/>
    <x v="5"/>
    <x v="1"/>
    <x v="3"/>
    <x v="0"/>
    <x v="6"/>
    <x v="2"/>
  </r>
  <r>
    <n v="1488"/>
    <d v="2023-08-11T00:00:00"/>
    <x v="2"/>
    <x v="2"/>
    <n v="1002"/>
    <n v="1"/>
    <n v="1002"/>
    <n v="19"/>
    <x v="1"/>
    <x v="4"/>
    <x v="4"/>
    <x v="3"/>
    <x v="4"/>
    <x v="1"/>
    <x v="7"/>
    <x v="0"/>
  </r>
  <r>
    <n v="1489"/>
    <d v="2023-10-01T00:00:00"/>
    <x v="0"/>
    <x v="10"/>
    <n v="817"/>
    <n v="5"/>
    <n v="4085"/>
    <n v="18"/>
    <x v="1"/>
    <x v="4"/>
    <x v="5"/>
    <x v="2"/>
    <x v="0"/>
    <x v="1"/>
    <x v="0"/>
    <x v="0"/>
  </r>
  <r>
    <n v="1490"/>
    <d v="2023-12-22T00:00:00"/>
    <x v="0"/>
    <x v="22"/>
    <n v="618"/>
    <n v="3"/>
    <n v="1854"/>
    <n v="43"/>
    <x v="1"/>
    <x v="7"/>
    <x v="3"/>
    <x v="2"/>
    <x v="1"/>
    <x v="1"/>
    <x v="11"/>
    <x v="1"/>
  </r>
  <r>
    <n v="1491"/>
    <d v="2023-10-06T00:00:00"/>
    <x v="3"/>
    <x v="3"/>
    <n v="1095"/>
    <n v="3"/>
    <n v="3285"/>
    <n v="20"/>
    <x v="0"/>
    <x v="1"/>
    <x v="3"/>
    <x v="3"/>
    <x v="3"/>
    <x v="0"/>
    <x v="0"/>
    <x v="0"/>
  </r>
  <r>
    <n v="1492"/>
    <d v="2023-03-12T00:00:00"/>
    <x v="4"/>
    <x v="4"/>
    <n v="1394"/>
    <n v="3"/>
    <n v="4182"/>
    <n v="24"/>
    <x v="1"/>
    <x v="4"/>
    <x v="3"/>
    <x v="2"/>
    <x v="4"/>
    <x v="0"/>
    <x v="3"/>
    <x v="0"/>
  </r>
  <r>
    <n v="1493"/>
    <d v="2024-01-16T00:00:00"/>
    <x v="0"/>
    <x v="12"/>
    <n v="441"/>
    <n v="3"/>
    <n v="1323"/>
    <n v="19"/>
    <x v="1"/>
    <x v="9"/>
    <x v="0"/>
    <x v="2"/>
    <x v="3"/>
    <x v="1"/>
    <x v="2"/>
    <x v="0"/>
  </r>
  <r>
    <n v="1494"/>
    <d v="2023-06-26T00:00:00"/>
    <x v="0"/>
    <x v="34"/>
    <n v="840"/>
    <n v="3"/>
    <n v="2520"/>
    <n v="53"/>
    <x v="1"/>
    <x v="1"/>
    <x v="0"/>
    <x v="1"/>
    <x v="2"/>
    <x v="1"/>
    <x v="5"/>
    <x v="2"/>
  </r>
  <r>
    <n v="1495"/>
    <d v="2023-06-27T00:00:00"/>
    <x v="1"/>
    <x v="27"/>
    <n v="1078"/>
    <n v="1"/>
    <n v="1078"/>
    <n v="55"/>
    <x v="0"/>
    <x v="3"/>
    <x v="0"/>
    <x v="0"/>
    <x v="3"/>
    <x v="0"/>
    <x v="5"/>
    <x v="2"/>
  </r>
  <r>
    <n v="1496"/>
    <d v="2023-06-06T00:00:00"/>
    <x v="5"/>
    <x v="11"/>
    <n v="557"/>
    <n v="5"/>
    <n v="2785"/>
    <n v="49"/>
    <x v="1"/>
    <x v="2"/>
    <x v="2"/>
    <x v="2"/>
    <x v="5"/>
    <x v="1"/>
    <x v="5"/>
    <x v="1"/>
  </r>
  <r>
    <n v="1497"/>
    <d v="2023-03-28T00:00:00"/>
    <x v="1"/>
    <x v="1"/>
    <n v="1493"/>
    <n v="5"/>
    <n v="7465"/>
    <n v="51"/>
    <x v="1"/>
    <x v="6"/>
    <x v="0"/>
    <x v="4"/>
    <x v="4"/>
    <x v="0"/>
    <x v="3"/>
    <x v="2"/>
  </r>
  <r>
    <n v="1498"/>
    <d v="2023-09-17T00:00:00"/>
    <x v="1"/>
    <x v="1"/>
    <n v="1228"/>
    <n v="4"/>
    <n v="4912"/>
    <n v="45"/>
    <x v="1"/>
    <x v="7"/>
    <x v="4"/>
    <x v="4"/>
    <x v="4"/>
    <x v="0"/>
    <x v="1"/>
    <x v="1"/>
  </r>
  <r>
    <n v="1499"/>
    <d v="2023-11-17T00:00:00"/>
    <x v="5"/>
    <x v="7"/>
    <n v="1085"/>
    <n v="3"/>
    <n v="3255"/>
    <n v="58"/>
    <x v="1"/>
    <x v="5"/>
    <x v="2"/>
    <x v="3"/>
    <x v="5"/>
    <x v="0"/>
    <x v="10"/>
    <x v="2"/>
  </r>
  <r>
    <n v="1500"/>
    <d v="2023-11-28T00:00:00"/>
    <x v="5"/>
    <x v="17"/>
    <n v="715"/>
    <n v="2"/>
    <n v="1430"/>
    <n v="51"/>
    <x v="0"/>
    <x v="3"/>
    <x v="2"/>
    <x v="0"/>
    <x v="5"/>
    <x v="0"/>
    <x v="10"/>
    <x v="2"/>
  </r>
  <r>
    <n v="1501"/>
    <d v="2023-11-05T00:00:00"/>
    <x v="6"/>
    <x v="8"/>
    <n v="38"/>
    <n v="5"/>
    <n v="190"/>
    <n v="49"/>
    <x v="0"/>
    <x v="6"/>
    <x v="5"/>
    <x v="2"/>
    <x v="5"/>
    <x v="1"/>
    <x v="10"/>
    <x v="1"/>
  </r>
  <r>
    <n v="1502"/>
    <d v="2023-12-21T00:00:00"/>
    <x v="1"/>
    <x v="1"/>
    <n v="804"/>
    <n v="3"/>
    <n v="2412"/>
    <n v="48"/>
    <x v="0"/>
    <x v="0"/>
    <x v="4"/>
    <x v="4"/>
    <x v="1"/>
    <x v="1"/>
    <x v="11"/>
    <x v="1"/>
  </r>
  <r>
    <n v="1503"/>
    <d v="2023-10-21T00:00:00"/>
    <x v="5"/>
    <x v="15"/>
    <n v="718"/>
    <n v="1"/>
    <n v="718"/>
    <n v="23"/>
    <x v="0"/>
    <x v="7"/>
    <x v="1"/>
    <x v="0"/>
    <x v="1"/>
    <x v="1"/>
    <x v="0"/>
    <x v="0"/>
  </r>
  <r>
    <n v="1504"/>
    <d v="2023-08-03T00:00:00"/>
    <x v="0"/>
    <x v="22"/>
    <n v="1438"/>
    <n v="5"/>
    <n v="7190"/>
    <n v="25"/>
    <x v="1"/>
    <x v="6"/>
    <x v="2"/>
    <x v="0"/>
    <x v="3"/>
    <x v="1"/>
    <x v="7"/>
    <x v="0"/>
  </r>
  <r>
    <n v="1505"/>
    <d v="2023-10-27T00:00:00"/>
    <x v="6"/>
    <x v="16"/>
    <n v="1317"/>
    <n v="4"/>
    <n v="5268"/>
    <n v="18"/>
    <x v="0"/>
    <x v="7"/>
    <x v="2"/>
    <x v="3"/>
    <x v="0"/>
    <x v="0"/>
    <x v="0"/>
    <x v="0"/>
  </r>
  <r>
    <n v="1506"/>
    <d v="2024-01-12T00:00:00"/>
    <x v="4"/>
    <x v="13"/>
    <n v="425"/>
    <n v="3"/>
    <n v="1275"/>
    <n v="39"/>
    <x v="1"/>
    <x v="2"/>
    <x v="1"/>
    <x v="2"/>
    <x v="1"/>
    <x v="0"/>
    <x v="2"/>
    <x v="1"/>
  </r>
  <r>
    <n v="1507"/>
    <d v="2023-12-21T00:00:00"/>
    <x v="4"/>
    <x v="6"/>
    <n v="809"/>
    <n v="2"/>
    <n v="1618"/>
    <n v="28"/>
    <x v="1"/>
    <x v="2"/>
    <x v="1"/>
    <x v="2"/>
    <x v="0"/>
    <x v="0"/>
    <x v="11"/>
    <x v="0"/>
  </r>
  <r>
    <n v="1508"/>
    <d v="2023-01-29T00:00:00"/>
    <x v="1"/>
    <x v="27"/>
    <n v="1110"/>
    <n v="1"/>
    <n v="1110"/>
    <n v="28"/>
    <x v="0"/>
    <x v="5"/>
    <x v="0"/>
    <x v="4"/>
    <x v="1"/>
    <x v="1"/>
    <x v="2"/>
    <x v="0"/>
  </r>
  <r>
    <n v="1509"/>
    <d v="2023-10-03T00:00:00"/>
    <x v="0"/>
    <x v="14"/>
    <n v="571"/>
    <n v="3"/>
    <n v="1713"/>
    <n v="27"/>
    <x v="0"/>
    <x v="7"/>
    <x v="1"/>
    <x v="3"/>
    <x v="4"/>
    <x v="1"/>
    <x v="0"/>
    <x v="0"/>
  </r>
  <r>
    <n v="1510"/>
    <d v="2023-08-03T00:00:00"/>
    <x v="1"/>
    <x v="9"/>
    <n v="441"/>
    <n v="1"/>
    <n v="441"/>
    <n v="47"/>
    <x v="1"/>
    <x v="2"/>
    <x v="3"/>
    <x v="1"/>
    <x v="4"/>
    <x v="1"/>
    <x v="7"/>
    <x v="1"/>
  </r>
  <r>
    <n v="1511"/>
    <d v="2023-05-24T00:00:00"/>
    <x v="4"/>
    <x v="13"/>
    <n v="43"/>
    <n v="5"/>
    <n v="215"/>
    <n v="41"/>
    <x v="1"/>
    <x v="2"/>
    <x v="0"/>
    <x v="3"/>
    <x v="4"/>
    <x v="1"/>
    <x v="9"/>
    <x v="1"/>
  </r>
  <r>
    <n v="1512"/>
    <d v="2023-05-12T00:00:00"/>
    <x v="4"/>
    <x v="13"/>
    <n v="1242"/>
    <n v="2"/>
    <n v="2484"/>
    <n v="48"/>
    <x v="1"/>
    <x v="8"/>
    <x v="2"/>
    <x v="4"/>
    <x v="5"/>
    <x v="0"/>
    <x v="9"/>
    <x v="1"/>
  </r>
  <r>
    <n v="1513"/>
    <d v="2023-01-21T00:00:00"/>
    <x v="0"/>
    <x v="10"/>
    <n v="1397"/>
    <n v="4"/>
    <n v="5588"/>
    <n v="50"/>
    <x v="0"/>
    <x v="1"/>
    <x v="2"/>
    <x v="1"/>
    <x v="4"/>
    <x v="0"/>
    <x v="2"/>
    <x v="2"/>
  </r>
  <r>
    <n v="1514"/>
    <d v="2023-02-09T00:00:00"/>
    <x v="2"/>
    <x v="5"/>
    <n v="991"/>
    <n v="4"/>
    <n v="3964"/>
    <n v="52"/>
    <x v="0"/>
    <x v="5"/>
    <x v="3"/>
    <x v="0"/>
    <x v="5"/>
    <x v="0"/>
    <x v="6"/>
    <x v="2"/>
  </r>
  <r>
    <n v="1515"/>
    <d v="2023-01-23T00:00:00"/>
    <x v="6"/>
    <x v="16"/>
    <n v="746"/>
    <n v="1"/>
    <n v="746"/>
    <n v="19"/>
    <x v="1"/>
    <x v="2"/>
    <x v="0"/>
    <x v="0"/>
    <x v="1"/>
    <x v="0"/>
    <x v="2"/>
    <x v="0"/>
  </r>
  <r>
    <n v="1516"/>
    <d v="2023-05-31T00:00:00"/>
    <x v="0"/>
    <x v="12"/>
    <n v="168"/>
    <n v="1"/>
    <n v="168"/>
    <n v="57"/>
    <x v="1"/>
    <x v="9"/>
    <x v="5"/>
    <x v="2"/>
    <x v="1"/>
    <x v="1"/>
    <x v="9"/>
    <x v="2"/>
  </r>
  <r>
    <n v="1517"/>
    <d v="2024-01-31T00:00:00"/>
    <x v="1"/>
    <x v="27"/>
    <n v="1077"/>
    <n v="1"/>
    <n v="1077"/>
    <n v="49"/>
    <x v="0"/>
    <x v="1"/>
    <x v="2"/>
    <x v="4"/>
    <x v="4"/>
    <x v="0"/>
    <x v="2"/>
    <x v="1"/>
  </r>
  <r>
    <n v="1518"/>
    <d v="2023-11-15T00:00:00"/>
    <x v="4"/>
    <x v="19"/>
    <n v="183"/>
    <n v="4"/>
    <n v="732"/>
    <n v="49"/>
    <x v="0"/>
    <x v="6"/>
    <x v="5"/>
    <x v="1"/>
    <x v="5"/>
    <x v="0"/>
    <x v="10"/>
    <x v="1"/>
  </r>
  <r>
    <n v="1519"/>
    <d v="2023-11-22T00:00:00"/>
    <x v="4"/>
    <x v="19"/>
    <n v="490"/>
    <n v="2"/>
    <n v="980"/>
    <n v="18"/>
    <x v="0"/>
    <x v="5"/>
    <x v="1"/>
    <x v="2"/>
    <x v="1"/>
    <x v="1"/>
    <x v="10"/>
    <x v="0"/>
  </r>
  <r>
    <n v="1520"/>
    <d v="2023-09-26T00:00:00"/>
    <x v="5"/>
    <x v="7"/>
    <n v="1465"/>
    <n v="1"/>
    <n v="1465"/>
    <n v="32"/>
    <x v="1"/>
    <x v="4"/>
    <x v="4"/>
    <x v="2"/>
    <x v="1"/>
    <x v="0"/>
    <x v="1"/>
    <x v="1"/>
  </r>
  <r>
    <n v="1521"/>
    <d v="2023-07-23T00:00:00"/>
    <x v="6"/>
    <x v="18"/>
    <n v="362"/>
    <n v="4"/>
    <n v="1448"/>
    <n v="59"/>
    <x v="0"/>
    <x v="1"/>
    <x v="0"/>
    <x v="0"/>
    <x v="3"/>
    <x v="0"/>
    <x v="4"/>
    <x v="2"/>
  </r>
  <r>
    <n v="1522"/>
    <d v="2023-05-12T00:00:00"/>
    <x v="5"/>
    <x v="11"/>
    <n v="589"/>
    <n v="5"/>
    <n v="2945"/>
    <n v="26"/>
    <x v="1"/>
    <x v="5"/>
    <x v="2"/>
    <x v="4"/>
    <x v="1"/>
    <x v="1"/>
    <x v="9"/>
    <x v="0"/>
  </r>
  <r>
    <n v="1523"/>
    <d v="2023-04-18T00:00:00"/>
    <x v="0"/>
    <x v="12"/>
    <n v="849"/>
    <n v="4"/>
    <n v="3396"/>
    <n v="21"/>
    <x v="1"/>
    <x v="4"/>
    <x v="1"/>
    <x v="2"/>
    <x v="3"/>
    <x v="0"/>
    <x v="8"/>
    <x v="0"/>
  </r>
  <r>
    <n v="1524"/>
    <d v="2023-03-07T00:00:00"/>
    <x v="5"/>
    <x v="32"/>
    <n v="69"/>
    <n v="2"/>
    <n v="138"/>
    <n v="19"/>
    <x v="1"/>
    <x v="0"/>
    <x v="2"/>
    <x v="0"/>
    <x v="0"/>
    <x v="1"/>
    <x v="3"/>
    <x v="0"/>
  </r>
  <r>
    <n v="1525"/>
    <d v="2023-07-11T00:00:00"/>
    <x v="4"/>
    <x v="6"/>
    <n v="1255"/>
    <n v="5"/>
    <n v="6275"/>
    <n v="52"/>
    <x v="1"/>
    <x v="5"/>
    <x v="1"/>
    <x v="4"/>
    <x v="3"/>
    <x v="0"/>
    <x v="4"/>
    <x v="2"/>
  </r>
  <r>
    <n v="1526"/>
    <d v="2024-01-22T00:00:00"/>
    <x v="1"/>
    <x v="35"/>
    <n v="1023"/>
    <n v="1"/>
    <n v="1023"/>
    <n v="37"/>
    <x v="0"/>
    <x v="4"/>
    <x v="5"/>
    <x v="3"/>
    <x v="2"/>
    <x v="1"/>
    <x v="2"/>
    <x v="1"/>
  </r>
  <r>
    <n v="1527"/>
    <d v="2023-09-27T00:00:00"/>
    <x v="3"/>
    <x v="3"/>
    <n v="485"/>
    <n v="4"/>
    <n v="1940"/>
    <n v="56"/>
    <x v="0"/>
    <x v="2"/>
    <x v="1"/>
    <x v="3"/>
    <x v="5"/>
    <x v="1"/>
    <x v="1"/>
    <x v="2"/>
  </r>
  <r>
    <n v="1528"/>
    <d v="2023-09-30T00:00:00"/>
    <x v="3"/>
    <x v="25"/>
    <n v="1161"/>
    <n v="2"/>
    <n v="2322"/>
    <n v="55"/>
    <x v="0"/>
    <x v="8"/>
    <x v="2"/>
    <x v="1"/>
    <x v="3"/>
    <x v="1"/>
    <x v="1"/>
    <x v="2"/>
  </r>
  <r>
    <n v="1529"/>
    <d v="2023-11-11T00:00:00"/>
    <x v="6"/>
    <x v="24"/>
    <n v="1292"/>
    <n v="3"/>
    <n v="3876"/>
    <n v="45"/>
    <x v="1"/>
    <x v="0"/>
    <x v="2"/>
    <x v="2"/>
    <x v="2"/>
    <x v="1"/>
    <x v="10"/>
    <x v="1"/>
  </r>
  <r>
    <n v="1530"/>
    <d v="2023-01-03T00:00:00"/>
    <x v="2"/>
    <x v="30"/>
    <n v="500"/>
    <n v="5"/>
    <n v="2500"/>
    <n v="55"/>
    <x v="0"/>
    <x v="0"/>
    <x v="4"/>
    <x v="3"/>
    <x v="4"/>
    <x v="0"/>
    <x v="2"/>
    <x v="2"/>
  </r>
  <r>
    <n v="1531"/>
    <d v="2023-06-27T00:00:00"/>
    <x v="2"/>
    <x v="2"/>
    <n v="696"/>
    <n v="2"/>
    <n v="1392"/>
    <n v="27"/>
    <x v="1"/>
    <x v="1"/>
    <x v="0"/>
    <x v="2"/>
    <x v="3"/>
    <x v="0"/>
    <x v="5"/>
    <x v="0"/>
  </r>
  <r>
    <n v="1532"/>
    <d v="2023-07-21T00:00:00"/>
    <x v="0"/>
    <x v="14"/>
    <n v="541"/>
    <n v="5"/>
    <n v="2705"/>
    <n v="41"/>
    <x v="0"/>
    <x v="7"/>
    <x v="2"/>
    <x v="0"/>
    <x v="5"/>
    <x v="0"/>
    <x v="4"/>
    <x v="1"/>
  </r>
  <r>
    <n v="1533"/>
    <d v="2023-05-13T00:00:00"/>
    <x v="0"/>
    <x v="14"/>
    <n v="365"/>
    <n v="3"/>
    <n v="1095"/>
    <n v="26"/>
    <x v="0"/>
    <x v="7"/>
    <x v="1"/>
    <x v="4"/>
    <x v="5"/>
    <x v="0"/>
    <x v="9"/>
    <x v="0"/>
  </r>
  <r>
    <n v="1534"/>
    <d v="2023-09-15T00:00:00"/>
    <x v="2"/>
    <x v="20"/>
    <n v="1011"/>
    <n v="1"/>
    <n v="1011"/>
    <n v="29"/>
    <x v="0"/>
    <x v="9"/>
    <x v="0"/>
    <x v="2"/>
    <x v="4"/>
    <x v="0"/>
    <x v="1"/>
    <x v="0"/>
  </r>
  <r>
    <n v="1535"/>
    <d v="2023-01-22T00:00:00"/>
    <x v="4"/>
    <x v="29"/>
    <n v="40"/>
    <n v="5"/>
    <n v="200"/>
    <n v="32"/>
    <x v="1"/>
    <x v="5"/>
    <x v="4"/>
    <x v="3"/>
    <x v="5"/>
    <x v="1"/>
    <x v="2"/>
    <x v="1"/>
  </r>
  <r>
    <n v="1536"/>
    <d v="2023-04-12T00:00:00"/>
    <x v="0"/>
    <x v="10"/>
    <n v="69"/>
    <n v="1"/>
    <n v="69"/>
    <n v="51"/>
    <x v="1"/>
    <x v="0"/>
    <x v="2"/>
    <x v="2"/>
    <x v="0"/>
    <x v="0"/>
    <x v="8"/>
    <x v="2"/>
  </r>
  <r>
    <n v="1537"/>
    <d v="2023-06-14T00:00:00"/>
    <x v="5"/>
    <x v="15"/>
    <n v="59"/>
    <n v="3"/>
    <n v="177"/>
    <n v="52"/>
    <x v="1"/>
    <x v="3"/>
    <x v="1"/>
    <x v="4"/>
    <x v="1"/>
    <x v="0"/>
    <x v="5"/>
    <x v="2"/>
  </r>
  <r>
    <n v="1538"/>
    <d v="2023-08-14T00:00:00"/>
    <x v="1"/>
    <x v="9"/>
    <n v="810"/>
    <n v="5"/>
    <n v="4050"/>
    <n v="59"/>
    <x v="0"/>
    <x v="7"/>
    <x v="4"/>
    <x v="0"/>
    <x v="0"/>
    <x v="1"/>
    <x v="7"/>
    <x v="2"/>
  </r>
  <r>
    <n v="1539"/>
    <d v="2023-06-18T00:00:00"/>
    <x v="3"/>
    <x v="26"/>
    <n v="273"/>
    <n v="1"/>
    <n v="273"/>
    <n v="46"/>
    <x v="0"/>
    <x v="8"/>
    <x v="4"/>
    <x v="0"/>
    <x v="4"/>
    <x v="0"/>
    <x v="5"/>
    <x v="1"/>
  </r>
  <r>
    <n v="1540"/>
    <d v="2023-10-27T00:00:00"/>
    <x v="3"/>
    <x v="3"/>
    <n v="1325"/>
    <n v="4"/>
    <n v="5300"/>
    <n v="33"/>
    <x v="1"/>
    <x v="3"/>
    <x v="0"/>
    <x v="1"/>
    <x v="3"/>
    <x v="0"/>
    <x v="0"/>
    <x v="1"/>
  </r>
  <r>
    <n v="1541"/>
    <d v="2023-03-29T00:00:00"/>
    <x v="1"/>
    <x v="9"/>
    <n v="468"/>
    <n v="3"/>
    <n v="1404"/>
    <n v="31"/>
    <x v="1"/>
    <x v="5"/>
    <x v="1"/>
    <x v="3"/>
    <x v="3"/>
    <x v="0"/>
    <x v="3"/>
    <x v="1"/>
  </r>
  <r>
    <n v="1542"/>
    <d v="2023-09-02T00:00:00"/>
    <x v="2"/>
    <x v="20"/>
    <n v="392"/>
    <n v="2"/>
    <n v="784"/>
    <n v="24"/>
    <x v="0"/>
    <x v="7"/>
    <x v="5"/>
    <x v="3"/>
    <x v="1"/>
    <x v="0"/>
    <x v="1"/>
    <x v="0"/>
  </r>
  <r>
    <n v="1543"/>
    <d v="2024-01-02T00:00:00"/>
    <x v="0"/>
    <x v="14"/>
    <n v="373"/>
    <n v="2"/>
    <n v="746"/>
    <n v="36"/>
    <x v="1"/>
    <x v="3"/>
    <x v="1"/>
    <x v="2"/>
    <x v="3"/>
    <x v="1"/>
    <x v="2"/>
    <x v="1"/>
  </r>
  <r>
    <n v="1544"/>
    <d v="2023-07-27T00:00:00"/>
    <x v="4"/>
    <x v="19"/>
    <n v="1094"/>
    <n v="4"/>
    <n v="4376"/>
    <n v="37"/>
    <x v="0"/>
    <x v="3"/>
    <x v="4"/>
    <x v="4"/>
    <x v="2"/>
    <x v="1"/>
    <x v="4"/>
    <x v="1"/>
  </r>
  <r>
    <n v="1545"/>
    <d v="2023-02-03T00:00:00"/>
    <x v="1"/>
    <x v="27"/>
    <n v="1479"/>
    <n v="4"/>
    <n v="5916"/>
    <n v="33"/>
    <x v="0"/>
    <x v="3"/>
    <x v="5"/>
    <x v="0"/>
    <x v="5"/>
    <x v="1"/>
    <x v="6"/>
    <x v="1"/>
  </r>
  <r>
    <n v="1546"/>
    <d v="2023-05-03T00:00:00"/>
    <x v="2"/>
    <x v="28"/>
    <n v="401"/>
    <n v="3"/>
    <n v="1203"/>
    <n v="33"/>
    <x v="0"/>
    <x v="7"/>
    <x v="4"/>
    <x v="3"/>
    <x v="1"/>
    <x v="1"/>
    <x v="9"/>
    <x v="1"/>
  </r>
  <r>
    <n v="1547"/>
    <d v="2023-05-05T00:00:00"/>
    <x v="4"/>
    <x v="13"/>
    <n v="198"/>
    <n v="2"/>
    <n v="396"/>
    <n v="30"/>
    <x v="0"/>
    <x v="8"/>
    <x v="2"/>
    <x v="0"/>
    <x v="3"/>
    <x v="0"/>
    <x v="9"/>
    <x v="1"/>
  </r>
  <r>
    <n v="1548"/>
    <d v="2023-03-04T00:00:00"/>
    <x v="2"/>
    <x v="2"/>
    <n v="248"/>
    <n v="5"/>
    <n v="1240"/>
    <n v="34"/>
    <x v="1"/>
    <x v="7"/>
    <x v="3"/>
    <x v="4"/>
    <x v="1"/>
    <x v="0"/>
    <x v="3"/>
    <x v="1"/>
  </r>
  <r>
    <n v="1549"/>
    <d v="2023-05-30T00:00:00"/>
    <x v="1"/>
    <x v="1"/>
    <n v="499"/>
    <n v="5"/>
    <n v="2495"/>
    <n v="52"/>
    <x v="1"/>
    <x v="4"/>
    <x v="1"/>
    <x v="2"/>
    <x v="0"/>
    <x v="1"/>
    <x v="9"/>
    <x v="2"/>
  </r>
  <r>
    <n v="1550"/>
    <d v="2023-09-01T00:00:00"/>
    <x v="1"/>
    <x v="31"/>
    <n v="1466"/>
    <n v="2"/>
    <n v="2932"/>
    <n v="43"/>
    <x v="1"/>
    <x v="8"/>
    <x v="4"/>
    <x v="1"/>
    <x v="5"/>
    <x v="0"/>
    <x v="1"/>
    <x v="1"/>
  </r>
  <r>
    <n v="1551"/>
    <d v="2023-07-13T00:00:00"/>
    <x v="0"/>
    <x v="12"/>
    <n v="976"/>
    <n v="1"/>
    <n v="976"/>
    <n v="59"/>
    <x v="1"/>
    <x v="8"/>
    <x v="5"/>
    <x v="4"/>
    <x v="0"/>
    <x v="0"/>
    <x v="4"/>
    <x v="2"/>
  </r>
  <r>
    <n v="1552"/>
    <d v="2023-05-23T00:00:00"/>
    <x v="4"/>
    <x v="6"/>
    <n v="787"/>
    <n v="3"/>
    <n v="2361"/>
    <n v="24"/>
    <x v="1"/>
    <x v="6"/>
    <x v="4"/>
    <x v="0"/>
    <x v="5"/>
    <x v="1"/>
    <x v="9"/>
    <x v="0"/>
  </r>
  <r>
    <n v="1553"/>
    <d v="2023-01-01T00:00:00"/>
    <x v="3"/>
    <x v="21"/>
    <n v="1371"/>
    <n v="4"/>
    <n v="5484"/>
    <n v="60"/>
    <x v="0"/>
    <x v="8"/>
    <x v="2"/>
    <x v="2"/>
    <x v="0"/>
    <x v="0"/>
    <x v="2"/>
    <x v="2"/>
  </r>
  <r>
    <n v="1554"/>
    <d v="2023-05-30T00:00:00"/>
    <x v="4"/>
    <x v="19"/>
    <n v="1453"/>
    <n v="4"/>
    <n v="5812"/>
    <n v="46"/>
    <x v="1"/>
    <x v="8"/>
    <x v="1"/>
    <x v="1"/>
    <x v="1"/>
    <x v="0"/>
    <x v="9"/>
    <x v="1"/>
  </r>
  <r>
    <n v="1555"/>
    <d v="2023-01-07T00:00:00"/>
    <x v="0"/>
    <x v="22"/>
    <n v="872"/>
    <n v="5"/>
    <n v="4360"/>
    <n v="43"/>
    <x v="0"/>
    <x v="9"/>
    <x v="1"/>
    <x v="2"/>
    <x v="1"/>
    <x v="0"/>
    <x v="2"/>
    <x v="1"/>
  </r>
  <r>
    <n v="1556"/>
    <d v="2023-02-21T00:00:00"/>
    <x v="5"/>
    <x v="11"/>
    <n v="159"/>
    <n v="3"/>
    <n v="477"/>
    <n v="40"/>
    <x v="0"/>
    <x v="9"/>
    <x v="3"/>
    <x v="3"/>
    <x v="5"/>
    <x v="1"/>
    <x v="6"/>
    <x v="1"/>
  </r>
  <r>
    <n v="1557"/>
    <d v="2023-11-30T00:00:00"/>
    <x v="2"/>
    <x v="5"/>
    <n v="1271"/>
    <n v="2"/>
    <n v="2542"/>
    <n v="45"/>
    <x v="1"/>
    <x v="5"/>
    <x v="0"/>
    <x v="1"/>
    <x v="4"/>
    <x v="1"/>
    <x v="10"/>
    <x v="1"/>
  </r>
  <r>
    <n v="1558"/>
    <d v="2023-05-10T00:00:00"/>
    <x v="2"/>
    <x v="28"/>
    <n v="643"/>
    <n v="5"/>
    <n v="3215"/>
    <n v="48"/>
    <x v="1"/>
    <x v="7"/>
    <x v="5"/>
    <x v="3"/>
    <x v="5"/>
    <x v="1"/>
    <x v="9"/>
    <x v="1"/>
  </r>
  <r>
    <n v="1559"/>
    <d v="2023-03-19T00:00:00"/>
    <x v="3"/>
    <x v="25"/>
    <n v="894"/>
    <n v="3"/>
    <n v="2682"/>
    <n v="32"/>
    <x v="0"/>
    <x v="4"/>
    <x v="4"/>
    <x v="2"/>
    <x v="3"/>
    <x v="1"/>
    <x v="3"/>
    <x v="1"/>
  </r>
  <r>
    <n v="1560"/>
    <d v="2023-04-08T00:00:00"/>
    <x v="4"/>
    <x v="13"/>
    <n v="505"/>
    <n v="3"/>
    <n v="1515"/>
    <n v="25"/>
    <x v="1"/>
    <x v="3"/>
    <x v="2"/>
    <x v="4"/>
    <x v="3"/>
    <x v="0"/>
    <x v="8"/>
    <x v="0"/>
  </r>
  <r>
    <n v="1561"/>
    <d v="2023-06-19T00:00:00"/>
    <x v="0"/>
    <x v="22"/>
    <n v="1083"/>
    <n v="3"/>
    <n v="3249"/>
    <n v="41"/>
    <x v="0"/>
    <x v="8"/>
    <x v="5"/>
    <x v="4"/>
    <x v="2"/>
    <x v="1"/>
    <x v="5"/>
    <x v="1"/>
  </r>
  <r>
    <n v="1562"/>
    <d v="2023-04-12T00:00:00"/>
    <x v="0"/>
    <x v="14"/>
    <n v="95"/>
    <n v="5"/>
    <n v="475"/>
    <n v="31"/>
    <x v="1"/>
    <x v="8"/>
    <x v="2"/>
    <x v="4"/>
    <x v="5"/>
    <x v="1"/>
    <x v="8"/>
    <x v="1"/>
  </r>
  <r>
    <n v="1563"/>
    <d v="2023-02-06T00:00:00"/>
    <x v="0"/>
    <x v="22"/>
    <n v="336"/>
    <n v="4"/>
    <n v="1344"/>
    <n v="39"/>
    <x v="0"/>
    <x v="5"/>
    <x v="3"/>
    <x v="4"/>
    <x v="5"/>
    <x v="0"/>
    <x v="6"/>
    <x v="1"/>
  </r>
  <r>
    <n v="1564"/>
    <d v="2023-10-01T00:00:00"/>
    <x v="3"/>
    <x v="25"/>
    <n v="926"/>
    <n v="1"/>
    <n v="926"/>
    <n v="49"/>
    <x v="1"/>
    <x v="6"/>
    <x v="3"/>
    <x v="4"/>
    <x v="4"/>
    <x v="1"/>
    <x v="0"/>
    <x v="1"/>
  </r>
  <r>
    <n v="1565"/>
    <d v="2023-02-16T00:00:00"/>
    <x v="0"/>
    <x v="12"/>
    <n v="144"/>
    <n v="2"/>
    <n v="288"/>
    <n v="28"/>
    <x v="1"/>
    <x v="7"/>
    <x v="1"/>
    <x v="0"/>
    <x v="3"/>
    <x v="1"/>
    <x v="6"/>
    <x v="0"/>
  </r>
  <r>
    <n v="1566"/>
    <d v="2023-09-24T00:00:00"/>
    <x v="5"/>
    <x v="7"/>
    <n v="255"/>
    <n v="2"/>
    <n v="510"/>
    <n v="54"/>
    <x v="1"/>
    <x v="8"/>
    <x v="5"/>
    <x v="3"/>
    <x v="1"/>
    <x v="1"/>
    <x v="1"/>
    <x v="2"/>
  </r>
  <r>
    <n v="1567"/>
    <d v="2023-02-12T00:00:00"/>
    <x v="6"/>
    <x v="18"/>
    <n v="302"/>
    <n v="2"/>
    <n v="604"/>
    <n v="29"/>
    <x v="0"/>
    <x v="3"/>
    <x v="0"/>
    <x v="4"/>
    <x v="3"/>
    <x v="0"/>
    <x v="6"/>
    <x v="0"/>
  </r>
  <r>
    <n v="1568"/>
    <d v="2023-04-30T00:00:00"/>
    <x v="5"/>
    <x v="7"/>
    <n v="1143"/>
    <n v="3"/>
    <n v="3429"/>
    <n v="41"/>
    <x v="1"/>
    <x v="4"/>
    <x v="5"/>
    <x v="2"/>
    <x v="3"/>
    <x v="0"/>
    <x v="8"/>
    <x v="1"/>
  </r>
  <r>
    <n v="1569"/>
    <d v="2023-03-20T00:00:00"/>
    <x v="4"/>
    <x v="13"/>
    <n v="480"/>
    <n v="1"/>
    <n v="480"/>
    <n v="35"/>
    <x v="0"/>
    <x v="5"/>
    <x v="3"/>
    <x v="2"/>
    <x v="3"/>
    <x v="1"/>
    <x v="3"/>
    <x v="1"/>
  </r>
  <r>
    <n v="1570"/>
    <d v="2023-01-05T00:00:00"/>
    <x v="0"/>
    <x v="34"/>
    <n v="999"/>
    <n v="2"/>
    <n v="1998"/>
    <n v="24"/>
    <x v="0"/>
    <x v="2"/>
    <x v="4"/>
    <x v="4"/>
    <x v="5"/>
    <x v="1"/>
    <x v="2"/>
    <x v="0"/>
  </r>
  <r>
    <n v="1571"/>
    <d v="2024-01-22T00:00:00"/>
    <x v="1"/>
    <x v="9"/>
    <n v="317"/>
    <n v="3"/>
    <n v="951"/>
    <n v="49"/>
    <x v="0"/>
    <x v="8"/>
    <x v="1"/>
    <x v="3"/>
    <x v="1"/>
    <x v="0"/>
    <x v="2"/>
    <x v="1"/>
  </r>
  <r>
    <n v="1572"/>
    <d v="2023-10-06T00:00:00"/>
    <x v="0"/>
    <x v="34"/>
    <n v="99"/>
    <n v="3"/>
    <n v="297"/>
    <n v="50"/>
    <x v="0"/>
    <x v="7"/>
    <x v="1"/>
    <x v="1"/>
    <x v="2"/>
    <x v="0"/>
    <x v="0"/>
    <x v="2"/>
  </r>
  <r>
    <n v="1573"/>
    <d v="2023-02-17T00:00:00"/>
    <x v="5"/>
    <x v="17"/>
    <n v="561"/>
    <n v="4"/>
    <n v="2244"/>
    <n v="60"/>
    <x v="1"/>
    <x v="1"/>
    <x v="2"/>
    <x v="2"/>
    <x v="0"/>
    <x v="1"/>
    <x v="6"/>
    <x v="2"/>
  </r>
  <r>
    <n v="1574"/>
    <d v="2024-02-01T00:00:00"/>
    <x v="6"/>
    <x v="33"/>
    <n v="1213"/>
    <n v="3"/>
    <n v="3639"/>
    <n v="33"/>
    <x v="1"/>
    <x v="1"/>
    <x v="2"/>
    <x v="2"/>
    <x v="2"/>
    <x v="0"/>
    <x v="6"/>
    <x v="1"/>
  </r>
  <r>
    <n v="1575"/>
    <d v="2023-11-01T00:00:00"/>
    <x v="6"/>
    <x v="18"/>
    <n v="809"/>
    <n v="5"/>
    <n v="4045"/>
    <n v="40"/>
    <x v="1"/>
    <x v="2"/>
    <x v="4"/>
    <x v="0"/>
    <x v="5"/>
    <x v="0"/>
    <x v="10"/>
    <x v="1"/>
  </r>
  <r>
    <n v="1576"/>
    <d v="2023-03-19T00:00:00"/>
    <x v="2"/>
    <x v="28"/>
    <n v="1243"/>
    <n v="1"/>
    <n v="1243"/>
    <n v="53"/>
    <x v="0"/>
    <x v="4"/>
    <x v="2"/>
    <x v="2"/>
    <x v="5"/>
    <x v="0"/>
    <x v="3"/>
    <x v="2"/>
  </r>
  <r>
    <n v="1577"/>
    <d v="2023-04-30T00:00:00"/>
    <x v="1"/>
    <x v="9"/>
    <n v="910"/>
    <n v="3"/>
    <n v="2730"/>
    <n v="37"/>
    <x v="1"/>
    <x v="2"/>
    <x v="0"/>
    <x v="3"/>
    <x v="0"/>
    <x v="1"/>
    <x v="8"/>
    <x v="1"/>
  </r>
  <r>
    <n v="1578"/>
    <d v="2023-03-03T00:00:00"/>
    <x v="2"/>
    <x v="20"/>
    <n v="1104"/>
    <n v="2"/>
    <n v="2208"/>
    <n v="28"/>
    <x v="0"/>
    <x v="3"/>
    <x v="3"/>
    <x v="1"/>
    <x v="2"/>
    <x v="0"/>
    <x v="3"/>
    <x v="0"/>
  </r>
  <r>
    <n v="1579"/>
    <d v="2023-03-23T00:00:00"/>
    <x v="2"/>
    <x v="30"/>
    <n v="528"/>
    <n v="4"/>
    <n v="2112"/>
    <n v="42"/>
    <x v="0"/>
    <x v="5"/>
    <x v="4"/>
    <x v="4"/>
    <x v="2"/>
    <x v="1"/>
    <x v="3"/>
    <x v="1"/>
  </r>
  <r>
    <n v="1580"/>
    <d v="2023-06-12T00:00:00"/>
    <x v="6"/>
    <x v="8"/>
    <n v="1138"/>
    <n v="2"/>
    <n v="2276"/>
    <n v="49"/>
    <x v="0"/>
    <x v="3"/>
    <x v="3"/>
    <x v="4"/>
    <x v="0"/>
    <x v="0"/>
    <x v="5"/>
    <x v="1"/>
  </r>
  <r>
    <n v="1581"/>
    <d v="2023-07-26T00:00:00"/>
    <x v="0"/>
    <x v="12"/>
    <n v="166"/>
    <n v="5"/>
    <n v="830"/>
    <n v="54"/>
    <x v="0"/>
    <x v="4"/>
    <x v="2"/>
    <x v="3"/>
    <x v="2"/>
    <x v="0"/>
    <x v="4"/>
    <x v="2"/>
  </r>
  <r>
    <n v="1582"/>
    <d v="2023-10-13T00:00:00"/>
    <x v="4"/>
    <x v="29"/>
    <n v="1077"/>
    <n v="1"/>
    <n v="1077"/>
    <n v="19"/>
    <x v="0"/>
    <x v="9"/>
    <x v="4"/>
    <x v="4"/>
    <x v="4"/>
    <x v="0"/>
    <x v="0"/>
    <x v="0"/>
  </r>
  <r>
    <n v="1583"/>
    <d v="2023-09-15T00:00:00"/>
    <x v="3"/>
    <x v="23"/>
    <n v="1302"/>
    <n v="4"/>
    <n v="5208"/>
    <n v="59"/>
    <x v="0"/>
    <x v="8"/>
    <x v="3"/>
    <x v="1"/>
    <x v="5"/>
    <x v="1"/>
    <x v="1"/>
    <x v="2"/>
  </r>
  <r>
    <n v="1584"/>
    <d v="2023-03-01T00:00:00"/>
    <x v="5"/>
    <x v="7"/>
    <n v="593"/>
    <n v="5"/>
    <n v="2965"/>
    <n v="52"/>
    <x v="0"/>
    <x v="7"/>
    <x v="1"/>
    <x v="2"/>
    <x v="0"/>
    <x v="1"/>
    <x v="3"/>
    <x v="2"/>
  </r>
  <r>
    <n v="1585"/>
    <d v="2023-03-30T00:00:00"/>
    <x v="0"/>
    <x v="10"/>
    <n v="943"/>
    <n v="5"/>
    <n v="4715"/>
    <n v="43"/>
    <x v="1"/>
    <x v="0"/>
    <x v="0"/>
    <x v="4"/>
    <x v="4"/>
    <x v="1"/>
    <x v="3"/>
    <x v="1"/>
  </r>
  <r>
    <n v="1586"/>
    <d v="2023-10-29T00:00:00"/>
    <x v="6"/>
    <x v="18"/>
    <n v="587"/>
    <n v="4"/>
    <n v="2348"/>
    <n v="56"/>
    <x v="1"/>
    <x v="0"/>
    <x v="4"/>
    <x v="3"/>
    <x v="1"/>
    <x v="0"/>
    <x v="0"/>
    <x v="2"/>
  </r>
  <r>
    <n v="1587"/>
    <d v="2023-02-22T00:00:00"/>
    <x v="3"/>
    <x v="3"/>
    <n v="199"/>
    <n v="3"/>
    <n v="597"/>
    <n v="37"/>
    <x v="1"/>
    <x v="2"/>
    <x v="5"/>
    <x v="4"/>
    <x v="1"/>
    <x v="1"/>
    <x v="6"/>
    <x v="1"/>
  </r>
  <r>
    <n v="1588"/>
    <d v="2023-05-23T00:00:00"/>
    <x v="0"/>
    <x v="10"/>
    <n v="905"/>
    <n v="5"/>
    <n v="4525"/>
    <n v="32"/>
    <x v="0"/>
    <x v="2"/>
    <x v="4"/>
    <x v="4"/>
    <x v="2"/>
    <x v="1"/>
    <x v="9"/>
    <x v="1"/>
  </r>
  <r>
    <n v="1589"/>
    <d v="2023-08-28T00:00:00"/>
    <x v="2"/>
    <x v="20"/>
    <n v="1138"/>
    <n v="3"/>
    <n v="3414"/>
    <n v="50"/>
    <x v="0"/>
    <x v="8"/>
    <x v="5"/>
    <x v="2"/>
    <x v="0"/>
    <x v="1"/>
    <x v="7"/>
    <x v="2"/>
  </r>
  <r>
    <n v="1590"/>
    <d v="2023-07-08T00:00:00"/>
    <x v="5"/>
    <x v="17"/>
    <n v="391"/>
    <n v="4"/>
    <n v="1564"/>
    <n v="50"/>
    <x v="1"/>
    <x v="2"/>
    <x v="0"/>
    <x v="1"/>
    <x v="0"/>
    <x v="0"/>
    <x v="4"/>
    <x v="2"/>
  </r>
  <r>
    <n v="1591"/>
    <d v="2024-01-30T00:00:00"/>
    <x v="0"/>
    <x v="22"/>
    <n v="1308"/>
    <n v="1"/>
    <n v="1308"/>
    <n v="20"/>
    <x v="0"/>
    <x v="1"/>
    <x v="0"/>
    <x v="4"/>
    <x v="2"/>
    <x v="0"/>
    <x v="2"/>
    <x v="0"/>
  </r>
  <r>
    <n v="1592"/>
    <d v="2023-10-14T00:00:00"/>
    <x v="1"/>
    <x v="1"/>
    <n v="415"/>
    <n v="1"/>
    <n v="415"/>
    <n v="57"/>
    <x v="1"/>
    <x v="0"/>
    <x v="3"/>
    <x v="3"/>
    <x v="5"/>
    <x v="0"/>
    <x v="0"/>
    <x v="2"/>
  </r>
  <r>
    <n v="1593"/>
    <d v="2024-02-01T00:00:00"/>
    <x v="2"/>
    <x v="2"/>
    <n v="946"/>
    <n v="5"/>
    <n v="4730"/>
    <n v="33"/>
    <x v="1"/>
    <x v="7"/>
    <x v="4"/>
    <x v="0"/>
    <x v="4"/>
    <x v="0"/>
    <x v="6"/>
    <x v="1"/>
  </r>
  <r>
    <n v="1594"/>
    <d v="2023-01-19T00:00:00"/>
    <x v="4"/>
    <x v="19"/>
    <n v="164"/>
    <n v="3"/>
    <n v="492"/>
    <n v="37"/>
    <x v="0"/>
    <x v="4"/>
    <x v="4"/>
    <x v="4"/>
    <x v="1"/>
    <x v="0"/>
    <x v="2"/>
    <x v="1"/>
  </r>
  <r>
    <n v="1595"/>
    <d v="2023-11-30T00:00:00"/>
    <x v="6"/>
    <x v="24"/>
    <n v="951"/>
    <n v="5"/>
    <n v="4755"/>
    <n v="37"/>
    <x v="1"/>
    <x v="8"/>
    <x v="3"/>
    <x v="1"/>
    <x v="4"/>
    <x v="1"/>
    <x v="10"/>
    <x v="1"/>
  </r>
  <r>
    <n v="1596"/>
    <d v="2023-03-30T00:00:00"/>
    <x v="6"/>
    <x v="8"/>
    <n v="1134"/>
    <n v="1"/>
    <n v="1134"/>
    <n v="39"/>
    <x v="0"/>
    <x v="3"/>
    <x v="1"/>
    <x v="1"/>
    <x v="4"/>
    <x v="1"/>
    <x v="3"/>
    <x v="1"/>
  </r>
  <r>
    <n v="1597"/>
    <d v="2023-07-05T00:00:00"/>
    <x v="1"/>
    <x v="31"/>
    <n v="82"/>
    <n v="5"/>
    <n v="410"/>
    <n v="27"/>
    <x v="0"/>
    <x v="8"/>
    <x v="1"/>
    <x v="3"/>
    <x v="1"/>
    <x v="1"/>
    <x v="4"/>
    <x v="0"/>
  </r>
  <r>
    <n v="1598"/>
    <d v="2024-02-04T00:00:00"/>
    <x v="0"/>
    <x v="14"/>
    <n v="951"/>
    <n v="3"/>
    <n v="2853"/>
    <n v="57"/>
    <x v="0"/>
    <x v="7"/>
    <x v="1"/>
    <x v="4"/>
    <x v="3"/>
    <x v="0"/>
    <x v="6"/>
    <x v="2"/>
  </r>
  <r>
    <n v="1599"/>
    <d v="2023-12-03T00:00:00"/>
    <x v="6"/>
    <x v="33"/>
    <n v="1086"/>
    <n v="3"/>
    <n v="3258"/>
    <n v="23"/>
    <x v="0"/>
    <x v="0"/>
    <x v="1"/>
    <x v="0"/>
    <x v="4"/>
    <x v="0"/>
    <x v="11"/>
    <x v="0"/>
  </r>
  <r>
    <n v="1600"/>
    <d v="2023-11-02T00:00:00"/>
    <x v="5"/>
    <x v="32"/>
    <n v="827"/>
    <n v="1"/>
    <n v="827"/>
    <n v="18"/>
    <x v="0"/>
    <x v="0"/>
    <x v="5"/>
    <x v="1"/>
    <x v="5"/>
    <x v="1"/>
    <x v="10"/>
    <x v="0"/>
  </r>
  <r>
    <n v="1601"/>
    <d v="2023-04-15T00:00:00"/>
    <x v="6"/>
    <x v="18"/>
    <n v="1052"/>
    <n v="3"/>
    <n v="3156"/>
    <n v="28"/>
    <x v="1"/>
    <x v="9"/>
    <x v="4"/>
    <x v="1"/>
    <x v="0"/>
    <x v="0"/>
    <x v="8"/>
    <x v="0"/>
  </r>
  <r>
    <n v="1602"/>
    <d v="2023-11-15T00:00:00"/>
    <x v="4"/>
    <x v="29"/>
    <n v="163"/>
    <n v="4"/>
    <n v="652"/>
    <n v="33"/>
    <x v="1"/>
    <x v="5"/>
    <x v="5"/>
    <x v="1"/>
    <x v="2"/>
    <x v="1"/>
    <x v="10"/>
    <x v="1"/>
  </r>
  <r>
    <n v="1603"/>
    <d v="2023-10-12T00:00:00"/>
    <x v="4"/>
    <x v="13"/>
    <n v="222"/>
    <n v="3"/>
    <n v="666"/>
    <n v="58"/>
    <x v="1"/>
    <x v="7"/>
    <x v="2"/>
    <x v="1"/>
    <x v="1"/>
    <x v="0"/>
    <x v="0"/>
    <x v="2"/>
  </r>
  <r>
    <n v="1604"/>
    <d v="2024-01-06T00:00:00"/>
    <x v="4"/>
    <x v="6"/>
    <n v="891"/>
    <n v="5"/>
    <n v="4455"/>
    <n v="36"/>
    <x v="1"/>
    <x v="9"/>
    <x v="5"/>
    <x v="0"/>
    <x v="3"/>
    <x v="1"/>
    <x v="2"/>
    <x v="1"/>
  </r>
  <r>
    <n v="1605"/>
    <d v="2023-01-10T00:00:00"/>
    <x v="0"/>
    <x v="34"/>
    <n v="1110"/>
    <n v="4"/>
    <n v="4440"/>
    <n v="57"/>
    <x v="1"/>
    <x v="8"/>
    <x v="0"/>
    <x v="0"/>
    <x v="1"/>
    <x v="1"/>
    <x v="2"/>
    <x v="2"/>
  </r>
  <r>
    <n v="1606"/>
    <d v="2023-09-16T00:00:00"/>
    <x v="0"/>
    <x v="34"/>
    <n v="1086"/>
    <n v="1"/>
    <n v="1086"/>
    <n v="36"/>
    <x v="1"/>
    <x v="9"/>
    <x v="4"/>
    <x v="1"/>
    <x v="3"/>
    <x v="0"/>
    <x v="1"/>
    <x v="1"/>
  </r>
  <r>
    <n v="1607"/>
    <d v="2023-02-14T00:00:00"/>
    <x v="3"/>
    <x v="23"/>
    <n v="413"/>
    <n v="1"/>
    <n v="413"/>
    <n v="48"/>
    <x v="0"/>
    <x v="7"/>
    <x v="2"/>
    <x v="1"/>
    <x v="3"/>
    <x v="0"/>
    <x v="6"/>
    <x v="1"/>
  </r>
  <r>
    <n v="1608"/>
    <d v="2023-01-13T00:00:00"/>
    <x v="3"/>
    <x v="21"/>
    <n v="283"/>
    <n v="4"/>
    <n v="1132"/>
    <n v="36"/>
    <x v="1"/>
    <x v="1"/>
    <x v="5"/>
    <x v="4"/>
    <x v="3"/>
    <x v="0"/>
    <x v="2"/>
    <x v="1"/>
  </r>
  <r>
    <n v="1609"/>
    <d v="2023-03-10T00:00:00"/>
    <x v="3"/>
    <x v="26"/>
    <n v="817"/>
    <n v="3"/>
    <n v="2451"/>
    <n v="47"/>
    <x v="0"/>
    <x v="5"/>
    <x v="3"/>
    <x v="0"/>
    <x v="4"/>
    <x v="1"/>
    <x v="3"/>
    <x v="1"/>
  </r>
  <r>
    <n v="1610"/>
    <d v="2024-01-22T00:00:00"/>
    <x v="0"/>
    <x v="10"/>
    <n v="826"/>
    <n v="4"/>
    <n v="3304"/>
    <n v="23"/>
    <x v="0"/>
    <x v="4"/>
    <x v="1"/>
    <x v="1"/>
    <x v="4"/>
    <x v="1"/>
    <x v="2"/>
    <x v="0"/>
  </r>
  <r>
    <n v="1611"/>
    <d v="2023-10-06T00:00:00"/>
    <x v="0"/>
    <x v="14"/>
    <n v="110"/>
    <n v="1"/>
    <n v="110"/>
    <n v="49"/>
    <x v="1"/>
    <x v="0"/>
    <x v="4"/>
    <x v="3"/>
    <x v="2"/>
    <x v="1"/>
    <x v="0"/>
    <x v="1"/>
  </r>
  <r>
    <n v="1612"/>
    <d v="2023-08-14T00:00:00"/>
    <x v="4"/>
    <x v="6"/>
    <n v="1168"/>
    <n v="1"/>
    <n v="1168"/>
    <n v="20"/>
    <x v="0"/>
    <x v="8"/>
    <x v="4"/>
    <x v="4"/>
    <x v="1"/>
    <x v="0"/>
    <x v="7"/>
    <x v="0"/>
  </r>
  <r>
    <n v="1613"/>
    <d v="2023-06-13T00:00:00"/>
    <x v="4"/>
    <x v="6"/>
    <n v="505"/>
    <n v="5"/>
    <n v="2525"/>
    <n v="45"/>
    <x v="1"/>
    <x v="5"/>
    <x v="1"/>
    <x v="2"/>
    <x v="5"/>
    <x v="0"/>
    <x v="5"/>
    <x v="1"/>
  </r>
  <r>
    <n v="1614"/>
    <d v="2023-02-28T00:00:00"/>
    <x v="2"/>
    <x v="30"/>
    <n v="363"/>
    <n v="3"/>
    <n v="1089"/>
    <n v="18"/>
    <x v="1"/>
    <x v="9"/>
    <x v="1"/>
    <x v="3"/>
    <x v="2"/>
    <x v="0"/>
    <x v="6"/>
    <x v="0"/>
  </r>
  <r>
    <n v="1615"/>
    <d v="2023-11-05T00:00:00"/>
    <x v="5"/>
    <x v="17"/>
    <n v="777"/>
    <n v="4"/>
    <n v="3108"/>
    <n v="49"/>
    <x v="1"/>
    <x v="8"/>
    <x v="3"/>
    <x v="0"/>
    <x v="2"/>
    <x v="0"/>
    <x v="10"/>
    <x v="1"/>
  </r>
  <r>
    <n v="1616"/>
    <d v="2023-11-14T00:00:00"/>
    <x v="6"/>
    <x v="33"/>
    <n v="1293"/>
    <n v="4"/>
    <n v="5172"/>
    <n v="39"/>
    <x v="1"/>
    <x v="3"/>
    <x v="5"/>
    <x v="4"/>
    <x v="4"/>
    <x v="0"/>
    <x v="10"/>
    <x v="1"/>
  </r>
  <r>
    <n v="1617"/>
    <d v="2023-09-02T00:00:00"/>
    <x v="0"/>
    <x v="12"/>
    <n v="833"/>
    <n v="5"/>
    <n v="4165"/>
    <n v="30"/>
    <x v="0"/>
    <x v="8"/>
    <x v="2"/>
    <x v="4"/>
    <x v="5"/>
    <x v="0"/>
    <x v="1"/>
    <x v="1"/>
  </r>
  <r>
    <n v="1618"/>
    <d v="2023-10-21T00:00:00"/>
    <x v="5"/>
    <x v="15"/>
    <n v="930"/>
    <n v="3"/>
    <n v="2790"/>
    <n v="51"/>
    <x v="1"/>
    <x v="2"/>
    <x v="1"/>
    <x v="1"/>
    <x v="4"/>
    <x v="0"/>
    <x v="0"/>
    <x v="2"/>
  </r>
  <r>
    <n v="1619"/>
    <d v="2023-09-23T00:00:00"/>
    <x v="0"/>
    <x v="34"/>
    <n v="860"/>
    <n v="4"/>
    <n v="3440"/>
    <n v="32"/>
    <x v="1"/>
    <x v="5"/>
    <x v="4"/>
    <x v="1"/>
    <x v="2"/>
    <x v="1"/>
    <x v="1"/>
    <x v="1"/>
  </r>
  <r>
    <n v="1620"/>
    <d v="2023-06-26T00:00:00"/>
    <x v="4"/>
    <x v="13"/>
    <n v="1499"/>
    <n v="5"/>
    <n v="7495"/>
    <n v="24"/>
    <x v="1"/>
    <x v="4"/>
    <x v="4"/>
    <x v="3"/>
    <x v="4"/>
    <x v="1"/>
    <x v="5"/>
    <x v="0"/>
  </r>
  <r>
    <n v="1621"/>
    <d v="2023-03-08T00:00:00"/>
    <x v="3"/>
    <x v="21"/>
    <n v="537"/>
    <n v="3"/>
    <n v="1611"/>
    <n v="42"/>
    <x v="0"/>
    <x v="5"/>
    <x v="5"/>
    <x v="3"/>
    <x v="5"/>
    <x v="1"/>
    <x v="3"/>
    <x v="1"/>
  </r>
  <r>
    <n v="1622"/>
    <d v="2023-05-11T00:00:00"/>
    <x v="5"/>
    <x v="15"/>
    <n v="1357"/>
    <n v="1"/>
    <n v="1357"/>
    <n v="37"/>
    <x v="0"/>
    <x v="0"/>
    <x v="1"/>
    <x v="1"/>
    <x v="4"/>
    <x v="1"/>
    <x v="9"/>
    <x v="1"/>
  </r>
  <r>
    <n v="1623"/>
    <d v="2023-05-12T00:00:00"/>
    <x v="1"/>
    <x v="9"/>
    <n v="949"/>
    <n v="3"/>
    <n v="2847"/>
    <n v="42"/>
    <x v="0"/>
    <x v="5"/>
    <x v="4"/>
    <x v="0"/>
    <x v="2"/>
    <x v="0"/>
    <x v="9"/>
    <x v="1"/>
  </r>
  <r>
    <n v="1624"/>
    <d v="2023-04-28T00:00:00"/>
    <x v="0"/>
    <x v="12"/>
    <n v="747"/>
    <n v="4"/>
    <n v="2988"/>
    <n v="39"/>
    <x v="0"/>
    <x v="8"/>
    <x v="2"/>
    <x v="4"/>
    <x v="2"/>
    <x v="1"/>
    <x v="8"/>
    <x v="1"/>
  </r>
  <r>
    <n v="1625"/>
    <d v="2023-06-04T00:00:00"/>
    <x v="0"/>
    <x v="22"/>
    <n v="476"/>
    <n v="3"/>
    <n v="1428"/>
    <n v="49"/>
    <x v="1"/>
    <x v="1"/>
    <x v="2"/>
    <x v="4"/>
    <x v="5"/>
    <x v="1"/>
    <x v="5"/>
    <x v="1"/>
  </r>
  <r>
    <n v="1626"/>
    <d v="2023-04-03T00:00:00"/>
    <x v="0"/>
    <x v="12"/>
    <n v="80"/>
    <n v="2"/>
    <n v="160"/>
    <n v="51"/>
    <x v="0"/>
    <x v="3"/>
    <x v="4"/>
    <x v="3"/>
    <x v="3"/>
    <x v="0"/>
    <x v="8"/>
    <x v="2"/>
  </r>
  <r>
    <n v="1627"/>
    <d v="2024-01-26T00:00:00"/>
    <x v="3"/>
    <x v="26"/>
    <n v="1010"/>
    <n v="4"/>
    <n v="4040"/>
    <n v="30"/>
    <x v="1"/>
    <x v="4"/>
    <x v="3"/>
    <x v="0"/>
    <x v="4"/>
    <x v="0"/>
    <x v="2"/>
    <x v="1"/>
  </r>
  <r>
    <n v="1628"/>
    <d v="2023-01-26T00:00:00"/>
    <x v="2"/>
    <x v="5"/>
    <n v="929"/>
    <n v="2"/>
    <n v="1858"/>
    <n v="48"/>
    <x v="1"/>
    <x v="2"/>
    <x v="0"/>
    <x v="0"/>
    <x v="1"/>
    <x v="1"/>
    <x v="2"/>
    <x v="1"/>
  </r>
  <r>
    <n v="1629"/>
    <d v="2023-03-31T00:00:00"/>
    <x v="0"/>
    <x v="14"/>
    <n v="534"/>
    <n v="2"/>
    <n v="1068"/>
    <n v="48"/>
    <x v="0"/>
    <x v="0"/>
    <x v="2"/>
    <x v="1"/>
    <x v="2"/>
    <x v="0"/>
    <x v="3"/>
    <x v="1"/>
  </r>
  <r>
    <n v="1630"/>
    <d v="2023-03-07T00:00:00"/>
    <x v="3"/>
    <x v="21"/>
    <n v="336"/>
    <n v="4"/>
    <n v="1344"/>
    <n v="58"/>
    <x v="0"/>
    <x v="3"/>
    <x v="5"/>
    <x v="4"/>
    <x v="4"/>
    <x v="0"/>
    <x v="3"/>
    <x v="2"/>
  </r>
  <r>
    <n v="1631"/>
    <d v="2023-10-26T00:00:00"/>
    <x v="0"/>
    <x v="10"/>
    <n v="376"/>
    <n v="3"/>
    <n v="1128"/>
    <n v="55"/>
    <x v="1"/>
    <x v="4"/>
    <x v="3"/>
    <x v="4"/>
    <x v="3"/>
    <x v="1"/>
    <x v="0"/>
    <x v="2"/>
  </r>
  <r>
    <n v="1632"/>
    <d v="2023-02-07T00:00:00"/>
    <x v="5"/>
    <x v="17"/>
    <n v="947"/>
    <n v="2"/>
    <n v="1894"/>
    <n v="27"/>
    <x v="1"/>
    <x v="6"/>
    <x v="4"/>
    <x v="1"/>
    <x v="3"/>
    <x v="1"/>
    <x v="6"/>
    <x v="0"/>
  </r>
  <r>
    <n v="1633"/>
    <d v="2023-08-08T00:00:00"/>
    <x v="2"/>
    <x v="2"/>
    <n v="82"/>
    <n v="2"/>
    <n v="164"/>
    <n v="58"/>
    <x v="0"/>
    <x v="6"/>
    <x v="2"/>
    <x v="2"/>
    <x v="2"/>
    <x v="0"/>
    <x v="7"/>
    <x v="2"/>
  </r>
  <r>
    <n v="1634"/>
    <d v="2023-12-26T00:00:00"/>
    <x v="5"/>
    <x v="32"/>
    <n v="1058"/>
    <n v="5"/>
    <n v="5290"/>
    <n v="56"/>
    <x v="0"/>
    <x v="7"/>
    <x v="5"/>
    <x v="1"/>
    <x v="3"/>
    <x v="0"/>
    <x v="11"/>
    <x v="2"/>
  </r>
  <r>
    <n v="1635"/>
    <d v="2023-11-28T00:00:00"/>
    <x v="1"/>
    <x v="31"/>
    <n v="76"/>
    <n v="5"/>
    <n v="380"/>
    <n v="50"/>
    <x v="0"/>
    <x v="2"/>
    <x v="1"/>
    <x v="0"/>
    <x v="3"/>
    <x v="0"/>
    <x v="10"/>
    <x v="2"/>
  </r>
  <r>
    <n v="1636"/>
    <d v="2023-01-26T00:00:00"/>
    <x v="3"/>
    <x v="23"/>
    <n v="532"/>
    <n v="2"/>
    <n v="1064"/>
    <n v="37"/>
    <x v="0"/>
    <x v="5"/>
    <x v="2"/>
    <x v="1"/>
    <x v="5"/>
    <x v="0"/>
    <x v="2"/>
    <x v="1"/>
  </r>
  <r>
    <n v="1637"/>
    <d v="2023-02-08T00:00:00"/>
    <x v="4"/>
    <x v="13"/>
    <n v="1109"/>
    <n v="3"/>
    <n v="3327"/>
    <n v="50"/>
    <x v="1"/>
    <x v="4"/>
    <x v="0"/>
    <x v="2"/>
    <x v="5"/>
    <x v="0"/>
    <x v="6"/>
    <x v="2"/>
  </r>
  <r>
    <n v="1638"/>
    <d v="2023-08-26T00:00:00"/>
    <x v="0"/>
    <x v="34"/>
    <n v="356"/>
    <n v="4"/>
    <n v="1424"/>
    <n v="39"/>
    <x v="0"/>
    <x v="2"/>
    <x v="3"/>
    <x v="4"/>
    <x v="3"/>
    <x v="0"/>
    <x v="7"/>
    <x v="1"/>
  </r>
  <r>
    <n v="1639"/>
    <d v="2023-07-13T00:00:00"/>
    <x v="3"/>
    <x v="21"/>
    <n v="206"/>
    <n v="3"/>
    <n v="618"/>
    <n v="60"/>
    <x v="0"/>
    <x v="1"/>
    <x v="1"/>
    <x v="4"/>
    <x v="5"/>
    <x v="1"/>
    <x v="4"/>
    <x v="2"/>
  </r>
  <r>
    <n v="1640"/>
    <d v="2023-11-21T00:00:00"/>
    <x v="0"/>
    <x v="12"/>
    <n v="1132"/>
    <n v="4"/>
    <n v="4528"/>
    <n v="19"/>
    <x v="1"/>
    <x v="8"/>
    <x v="3"/>
    <x v="1"/>
    <x v="1"/>
    <x v="0"/>
    <x v="10"/>
    <x v="0"/>
  </r>
  <r>
    <n v="1641"/>
    <d v="2023-10-19T00:00:00"/>
    <x v="3"/>
    <x v="21"/>
    <n v="319"/>
    <n v="1"/>
    <n v="319"/>
    <n v="26"/>
    <x v="0"/>
    <x v="6"/>
    <x v="3"/>
    <x v="1"/>
    <x v="1"/>
    <x v="1"/>
    <x v="0"/>
    <x v="0"/>
  </r>
  <r>
    <n v="1642"/>
    <d v="2023-04-19T00:00:00"/>
    <x v="5"/>
    <x v="17"/>
    <n v="774"/>
    <n v="5"/>
    <n v="3870"/>
    <n v="32"/>
    <x v="0"/>
    <x v="6"/>
    <x v="0"/>
    <x v="2"/>
    <x v="3"/>
    <x v="0"/>
    <x v="8"/>
    <x v="1"/>
  </r>
  <r>
    <n v="1643"/>
    <d v="2023-08-06T00:00:00"/>
    <x v="0"/>
    <x v="22"/>
    <n v="795"/>
    <n v="1"/>
    <n v="795"/>
    <n v="59"/>
    <x v="0"/>
    <x v="4"/>
    <x v="1"/>
    <x v="1"/>
    <x v="3"/>
    <x v="0"/>
    <x v="7"/>
    <x v="2"/>
  </r>
  <r>
    <n v="1644"/>
    <d v="2023-02-24T00:00:00"/>
    <x v="5"/>
    <x v="11"/>
    <n v="272"/>
    <n v="3"/>
    <n v="816"/>
    <n v="24"/>
    <x v="1"/>
    <x v="7"/>
    <x v="1"/>
    <x v="3"/>
    <x v="3"/>
    <x v="0"/>
    <x v="6"/>
    <x v="0"/>
  </r>
  <r>
    <n v="1645"/>
    <d v="2023-05-09T00:00:00"/>
    <x v="0"/>
    <x v="14"/>
    <n v="313"/>
    <n v="5"/>
    <n v="1565"/>
    <n v="25"/>
    <x v="0"/>
    <x v="3"/>
    <x v="5"/>
    <x v="2"/>
    <x v="5"/>
    <x v="0"/>
    <x v="9"/>
    <x v="0"/>
  </r>
  <r>
    <n v="1646"/>
    <d v="2023-02-11T00:00:00"/>
    <x v="1"/>
    <x v="31"/>
    <n v="206"/>
    <n v="2"/>
    <n v="412"/>
    <n v="57"/>
    <x v="0"/>
    <x v="2"/>
    <x v="2"/>
    <x v="0"/>
    <x v="3"/>
    <x v="0"/>
    <x v="6"/>
    <x v="2"/>
  </r>
  <r>
    <n v="1647"/>
    <d v="2023-09-14T00:00:00"/>
    <x v="4"/>
    <x v="29"/>
    <n v="516"/>
    <n v="2"/>
    <n v="1032"/>
    <n v="57"/>
    <x v="1"/>
    <x v="5"/>
    <x v="1"/>
    <x v="2"/>
    <x v="2"/>
    <x v="0"/>
    <x v="1"/>
    <x v="2"/>
  </r>
  <r>
    <n v="1648"/>
    <d v="2023-10-18T00:00:00"/>
    <x v="0"/>
    <x v="14"/>
    <n v="903"/>
    <n v="3"/>
    <n v="2709"/>
    <n v="42"/>
    <x v="1"/>
    <x v="9"/>
    <x v="5"/>
    <x v="0"/>
    <x v="3"/>
    <x v="0"/>
    <x v="0"/>
    <x v="1"/>
  </r>
  <r>
    <n v="1649"/>
    <d v="2023-11-25T00:00:00"/>
    <x v="0"/>
    <x v="22"/>
    <n v="366"/>
    <n v="4"/>
    <n v="1464"/>
    <n v="54"/>
    <x v="0"/>
    <x v="4"/>
    <x v="3"/>
    <x v="2"/>
    <x v="0"/>
    <x v="1"/>
    <x v="10"/>
    <x v="2"/>
  </r>
  <r>
    <n v="1650"/>
    <d v="2023-07-12T00:00:00"/>
    <x v="1"/>
    <x v="9"/>
    <n v="998"/>
    <n v="2"/>
    <n v="1996"/>
    <n v="47"/>
    <x v="1"/>
    <x v="9"/>
    <x v="4"/>
    <x v="1"/>
    <x v="2"/>
    <x v="0"/>
    <x v="4"/>
    <x v="1"/>
  </r>
  <r>
    <n v="1651"/>
    <d v="2023-04-06T00:00:00"/>
    <x v="1"/>
    <x v="1"/>
    <n v="1187"/>
    <n v="3"/>
    <n v="3561"/>
    <n v="36"/>
    <x v="1"/>
    <x v="8"/>
    <x v="4"/>
    <x v="2"/>
    <x v="1"/>
    <x v="1"/>
    <x v="8"/>
    <x v="1"/>
  </r>
  <r>
    <n v="1652"/>
    <d v="2023-10-08T00:00:00"/>
    <x v="3"/>
    <x v="26"/>
    <n v="1278"/>
    <n v="2"/>
    <n v="2556"/>
    <n v="20"/>
    <x v="0"/>
    <x v="4"/>
    <x v="2"/>
    <x v="3"/>
    <x v="5"/>
    <x v="1"/>
    <x v="0"/>
    <x v="0"/>
  </r>
  <r>
    <n v="1653"/>
    <d v="2023-09-18T00:00:00"/>
    <x v="6"/>
    <x v="24"/>
    <n v="1415"/>
    <n v="2"/>
    <n v="2830"/>
    <n v="44"/>
    <x v="1"/>
    <x v="3"/>
    <x v="1"/>
    <x v="1"/>
    <x v="1"/>
    <x v="1"/>
    <x v="1"/>
    <x v="1"/>
  </r>
  <r>
    <n v="1654"/>
    <d v="2023-11-18T00:00:00"/>
    <x v="3"/>
    <x v="26"/>
    <n v="110"/>
    <n v="3"/>
    <n v="330"/>
    <n v="41"/>
    <x v="1"/>
    <x v="5"/>
    <x v="1"/>
    <x v="0"/>
    <x v="3"/>
    <x v="1"/>
    <x v="10"/>
    <x v="1"/>
  </r>
  <r>
    <n v="1655"/>
    <d v="2023-11-23T00:00:00"/>
    <x v="5"/>
    <x v="32"/>
    <n v="670"/>
    <n v="2"/>
    <n v="1340"/>
    <n v="33"/>
    <x v="0"/>
    <x v="5"/>
    <x v="4"/>
    <x v="4"/>
    <x v="2"/>
    <x v="1"/>
    <x v="10"/>
    <x v="1"/>
  </r>
  <r>
    <n v="1656"/>
    <d v="2023-04-03T00:00:00"/>
    <x v="0"/>
    <x v="12"/>
    <n v="1275"/>
    <n v="2"/>
    <n v="2550"/>
    <n v="53"/>
    <x v="0"/>
    <x v="8"/>
    <x v="3"/>
    <x v="2"/>
    <x v="0"/>
    <x v="1"/>
    <x v="8"/>
    <x v="2"/>
  </r>
  <r>
    <n v="1657"/>
    <d v="2023-08-14T00:00:00"/>
    <x v="6"/>
    <x v="18"/>
    <n v="394"/>
    <n v="3"/>
    <n v="1182"/>
    <n v="40"/>
    <x v="1"/>
    <x v="7"/>
    <x v="4"/>
    <x v="4"/>
    <x v="5"/>
    <x v="1"/>
    <x v="7"/>
    <x v="1"/>
  </r>
  <r>
    <n v="1658"/>
    <d v="2024-02-05T00:00:00"/>
    <x v="5"/>
    <x v="17"/>
    <n v="533"/>
    <n v="1"/>
    <n v="533"/>
    <n v="48"/>
    <x v="1"/>
    <x v="8"/>
    <x v="2"/>
    <x v="4"/>
    <x v="1"/>
    <x v="0"/>
    <x v="6"/>
    <x v="1"/>
  </r>
  <r>
    <n v="1659"/>
    <d v="2023-11-16T00:00:00"/>
    <x v="4"/>
    <x v="4"/>
    <n v="142"/>
    <n v="3"/>
    <n v="426"/>
    <n v="38"/>
    <x v="0"/>
    <x v="9"/>
    <x v="5"/>
    <x v="2"/>
    <x v="3"/>
    <x v="1"/>
    <x v="10"/>
    <x v="1"/>
  </r>
  <r>
    <n v="1660"/>
    <d v="2023-06-11T00:00:00"/>
    <x v="5"/>
    <x v="15"/>
    <n v="606"/>
    <n v="1"/>
    <n v="606"/>
    <n v="22"/>
    <x v="0"/>
    <x v="2"/>
    <x v="4"/>
    <x v="1"/>
    <x v="5"/>
    <x v="0"/>
    <x v="5"/>
    <x v="0"/>
  </r>
  <r>
    <n v="1661"/>
    <d v="2023-08-04T00:00:00"/>
    <x v="1"/>
    <x v="31"/>
    <n v="631"/>
    <n v="4"/>
    <n v="2524"/>
    <n v="24"/>
    <x v="1"/>
    <x v="8"/>
    <x v="4"/>
    <x v="2"/>
    <x v="2"/>
    <x v="1"/>
    <x v="7"/>
    <x v="0"/>
  </r>
  <r>
    <n v="1662"/>
    <d v="2023-04-29T00:00:00"/>
    <x v="4"/>
    <x v="4"/>
    <n v="1179"/>
    <n v="4"/>
    <n v="4716"/>
    <n v="25"/>
    <x v="1"/>
    <x v="6"/>
    <x v="2"/>
    <x v="2"/>
    <x v="2"/>
    <x v="0"/>
    <x v="8"/>
    <x v="0"/>
  </r>
  <r>
    <n v="1663"/>
    <d v="2024-01-17T00:00:00"/>
    <x v="5"/>
    <x v="7"/>
    <n v="1422"/>
    <n v="4"/>
    <n v="5688"/>
    <n v="36"/>
    <x v="0"/>
    <x v="8"/>
    <x v="4"/>
    <x v="2"/>
    <x v="5"/>
    <x v="0"/>
    <x v="2"/>
    <x v="1"/>
  </r>
  <r>
    <n v="1664"/>
    <d v="2023-07-12T00:00:00"/>
    <x v="2"/>
    <x v="20"/>
    <n v="1009"/>
    <n v="3"/>
    <n v="3027"/>
    <n v="44"/>
    <x v="1"/>
    <x v="9"/>
    <x v="3"/>
    <x v="1"/>
    <x v="5"/>
    <x v="1"/>
    <x v="4"/>
    <x v="1"/>
  </r>
  <r>
    <n v="1665"/>
    <d v="2023-05-29T00:00:00"/>
    <x v="1"/>
    <x v="9"/>
    <n v="220"/>
    <n v="1"/>
    <n v="220"/>
    <n v="42"/>
    <x v="1"/>
    <x v="7"/>
    <x v="4"/>
    <x v="1"/>
    <x v="1"/>
    <x v="1"/>
    <x v="9"/>
    <x v="1"/>
  </r>
  <r>
    <n v="1666"/>
    <d v="2023-10-12T00:00:00"/>
    <x v="4"/>
    <x v="19"/>
    <n v="386"/>
    <n v="2"/>
    <n v="772"/>
    <n v="33"/>
    <x v="1"/>
    <x v="7"/>
    <x v="5"/>
    <x v="1"/>
    <x v="5"/>
    <x v="1"/>
    <x v="0"/>
    <x v="1"/>
  </r>
  <r>
    <n v="1667"/>
    <d v="2023-05-14T00:00:00"/>
    <x v="1"/>
    <x v="31"/>
    <n v="272"/>
    <n v="2"/>
    <n v="544"/>
    <n v="18"/>
    <x v="0"/>
    <x v="4"/>
    <x v="5"/>
    <x v="0"/>
    <x v="0"/>
    <x v="1"/>
    <x v="9"/>
    <x v="0"/>
  </r>
  <r>
    <n v="1668"/>
    <d v="2023-07-13T00:00:00"/>
    <x v="6"/>
    <x v="16"/>
    <n v="1008"/>
    <n v="1"/>
    <n v="1008"/>
    <n v="36"/>
    <x v="0"/>
    <x v="8"/>
    <x v="4"/>
    <x v="2"/>
    <x v="4"/>
    <x v="1"/>
    <x v="4"/>
    <x v="1"/>
  </r>
  <r>
    <n v="1669"/>
    <d v="2023-05-24T00:00:00"/>
    <x v="6"/>
    <x v="18"/>
    <n v="297"/>
    <n v="4"/>
    <n v="1188"/>
    <n v="50"/>
    <x v="1"/>
    <x v="9"/>
    <x v="0"/>
    <x v="1"/>
    <x v="5"/>
    <x v="0"/>
    <x v="9"/>
    <x v="2"/>
  </r>
  <r>
    <n v="1670"/>
    <d v="2023-07-06T00:00:00"/>
    <x v="5"/>
    <x v="7"/>
    <n v="179"/>
    <n v="4"/>
    <n v="716"/>
    <n v="21"/>
    <x v="0"/>
    <x v="1"/>
    <x v="1"/>
    <x v="4"/>
    <x v="0"/>
    <x v="1"/>
    <x v="4"/>
    <x v="0"/>
  </r>
  <r>
    <n v="1671"/>
    <d v="2023-04-22T00:00:00"/>
    <x v="2"/>
    <x v="5"/>
    <n v="431"/>
    <n v="4"/>
    <n v="1724"/>
    <n v="24"/>
    <x v="0"/>
    <x v="0"/>
    <x v="3"/>
    <x v="4"/>
    <x v="4"/>
    <x v="0"/>
    <x v="8"/>
    <x v="0"/>
  </r>
  <r>
    <n v="1672"/>
    <d v="2023-12-28T00:00:00"/>
    <x v="3"/>
    <x v="26"/>
    <n v="220"/>
    <n v="1"/>
    <n v="220"/>
    <n v="28"/>
    <x v="1"/>
    <x v="1"/>
    <x v="5"/>
    <x v="3"/>
    <x v="2"/>
    <x v="1"/>
    <x v="11"/>
    <x v="0"/>
  </r>
  <r>
    <n v="1673"/>
    <d v="2023-11-15T00:00:00"/>
    <x v="6"/>
    <x v="16"/>
    <n v="1366"/>
    <n v="3"/>
    <n v="4098"/>
    <n v="23"/>
    <x v="1"/>
    <x v="4"/>
    <x v="0"/>
    <x v="2"/>
    <x v="2"/>
    <x v="0"/>
    <x v="10"/>
    <x v="0"/>
  </r>
  <r>
    <n v="1674"/>
    <d v="2024-01-14T00:00:00"/>
    <x v="3"/>
    <x v="21"/>
    <n v="153"/>
    <n v="4"/>
    <n v="612"/>
    <n v="38"/>
    <x v="0"/>
    <x v="0"/>
    <x v="1"/>
    <x v="4"/>
    <x v="1"/>
    <x v="1"/>
    <x v="2"/>
    <x v="1"/>
  </r>
  <r>
    <n v="1675"/>
    <d v="2023-08-25T00:00:00"/>
    <x v="6"/>
    <x v="33"/>
    <n v="1262"/>
    <n v="5"/>
    <n v="6310"/>
    <n v="55"/>
    <x v="0"/>
    <x v="4"/>
    <x v="1"/>
    <x v="3"/>
    <x v="4"/>
    <x v="1"/>
    <x v="7"/>
    <x v="2"/>
  </r>
  <r>
    <n v="1676"/>
    <d v="2023-01-24T00:00:00"/>
    <x v="5"/>
    <x v="32"/>
    <n v="141"/>
    <n v="1"/>
    <n v="141"/>
    <n v="35"/>
    <x v="1"/>
    <x v="5"/>
    <x v="0"/>
    <x v="0"/>
    <x v="2"/>
    <x v="0"/>
    <x v="2"/>
    <x v="1"/>
  </r>
  <r>
    <n v="1677"/>
    <d v="2023-02-08T00:00:00"/>
    <x v="6"/>
    <x v="24"/>
    <n v="1002"/>
    <n v="3"/>
    <n v="3006"/>
    <n v="49"/>
    <x v="1"/>
    <x v="9"/>
    <x v="3"/>
    <x v="1"/>
    <x v="4"/>
    <x v="0"/>
    <x v="6"/>
    <x v="1"/>
  </r>
  <r>
    <n v="1678"/>
    <d v="2023-11-08T00:00:00"/>
    <x v="2"/>
    <x v="30"/>
    <n v="1451"/>
    <n v="4"/>
    <n v="5804"/>
    <n v="60"/>
    <x v="1"/>
    <x v="3"/>
    <x v="5"/>
    <x v="0"/>
    <x v="0"/>
    <x v="0"/>
    <x v="10"/>
    <x v="2"/>
  </r>
  <r>
    <n v="1679"/>
    <d v="2023-06-30T00:00:00"/>
    <x v="6"/>
    <x v="18"/>
    <n v="1059"/>
    <n v="1"/>
    <n v="1059"/>
    <n v="47"/>
    <x v="1"/>
    <x v="6"/>
    <x v="2"/>
    <x v="3"/>
    <x v="1"/>
    <x v="1"/>
    <x v="5"/>
    <x v="1"/>
  </r>
  <r>
    <n v="1680"/>
    <d v="2023-11-06T00:00:00"/>
    <x v="6"/>
    <x v="8"/>
    <n v="768"/>
    <n v="2"/>
    <n v="1536"/>
    <n v="56"/>
    <x v="1"/>
    <x v="4"/>
    <x v="3"/>
    <x v="4"/>
    <x v="1"/>
    <x v="1"/>
    <x v="10"/>
    <x v="2"/>
  </r>
  <r>
    <n v="1681"/>
    <d v="2023-04-20T00:00:00"/>
    <x v="5"/>
    <x v="15"/>
    <n v="1107"/>
    <n v="1"/>
    <n v="1107"/>
    <n v="34"/>
    <x v="0"/>
    <x v="4"/>
    <x v="5"/>
    <x v="1"/>
    <x v="0"/>
    <x v="0"/>
    <x v="8"/>
    <x v="1"/>
  </r>
  <r>
    <n v="1682"/>
    <d v="2023-05-02T00:00:00"/>
    <x v="0"/>
    <x v="12"/>
    <n v="1279"/>
    <n v="5"/>
    <n v="6395"/>
    <n v="36"/>
    <x v="1"/>
    <x v="4"/>
    <x v="5"/>
    <x v="3"/>
    <x v="1"/>
    <x v="1"/>
    <x v="9"/>
    <x v="1"/>
  </r>
  <r>
    <n v="1683"/>
    <d v="2023-02-05T00:00:00"/>
    <x v="6"/>
    <x v="18"/>
    <n v="1290"/>
    <n v="2"/>
    <n v="2580"/>
    <n v="27"/>
    <x v="0"/>
    <x v="7"/>
    <x v="0"/>
    <x v="0"/>
    <x v="5"/>
    <x v="1"/>
    <x v="6"/>
    <x v="0"/>
  </r>
  <r>
    <n v="1684"/>
    <d v="2023-08-31T00:00:00"/>
    <x v="2"/>
    <x v="20"/>
    <n v="523"/>
    <n v="2"/>
    <n v="1046"/>
    <n v="54"/>
    <x v="1"/>
    <x v="4"/>
    <x v="4"/>
    <x v="4"/>
    <x v="2"/>
    <x v="0"/>
    <x v="7"/>
    <x v="2"/>
  </r>
  <r>
    <n v="1685"/>
    <d v="2023-03-02T00:00:00"/>
    <x v="1"/>
    <x v="9"/>
    <n v="603"/>
    <n v="3"/>
    <n v="1809"/>
    <n v="52"/>
    <x v="0"/>
    <x v="4"/>
    <x v="4"/>
    <x v="1"/>
    <x v="0"/>
    <x v="1"/>
    <x v="3"/>
    <x v="2"/>
  </r>
  <r>
    <n v="1686"/>
    <d v="2023-08-03T00:00:00"/>
    <x v="4"/>
    <x v="4"/>
    <n v="83"/>
    <n v="2"/>
    <n v="166"/>
    <n v="45"/>
    <x v="0"/>
    <x v="1"/>
    <x v="2"/>
    <x v="0"/>
    <x v="2"/>
    <x v="1"/>
    <x v="7"/>
    <x v="1"/>
  </r>
  <r>
    <n v="1687"/>
    <d v="2023-02-27T00:00:00"/>
    <x v="6"/>
    <x v="33"/>
    <n v="431"/>
    <n v="4"/>
    <n v="1724"/>
    <n v="51"/>
    <x v="0"/>
    <x v="5"/>
    <x v="0"/>
    <x v="1"/>
    <x v="4"/>
    <x v="0"/>
    <x v="6"/>
    <x v="2"/>
  </r>
  <r>
    <n v="1688"/>
    <d v="2023-05-04T00:00:00"/>
    <x v="6"/>
    <x v="16"/>
    <n v="374"/>
    <n v="4"/>
    <n v="1496"/>
    <n v="53"/>
    <x v="1"/>
    <x v="0"/>
    <x v="5"/>
    <x v="0"/>
    <x v="5"/>
    <x v="0"/>
    <x v="9"/>
    <x v="2"/>
  </r>
  <r>
    <n v="1689"/>
    <d v="2023-06-18T00:00:00"/>
    <x v="4"/>
    <x v="13"/>
    <n v="979"/>
    <n v="2"/>
    <n v="1958"/>
    <n v="38"/>
    <x v="1"/>
    <x v="1"/>
    <x v="4"/>
    <x v="0"/>
    <x v="0"/>
    <x v="0"/>
    <x v="5"/>
    <x v="1"/>
  </r>
  <r>
    <n v="1690"/>
    <d v="2023-12-02T00:00:00"/>
    <x v="6"/>
    <x v="16"/>
    <n v="237"/>
    <n v="3"/>
    <n v="711"/>
    <n v="25"/>
    <x v="0"/>
    <x v="1"/>
    <x v="2"/>
    <x v="2"/>
    <x v="3"/>
    <x v="0"/>
    <x v="11"/>
    <x v="0"/>
  </r>
  <r>
    <n v="1691"/>
    <d v="2023-11-24T00:00:00"/>
    <x v="0"/>
    <x v="14"/>
    <n v="1407"/>
    <n v="3"/>
    <n v="4221"/>
    <n v="58"/>
    <x v="0"/>
    <x v="4"/>
    <x v="4"/>
    <x v="3"/>
    <x v="4"/>
    <x v="1"/>
    <x v="10"/>
    <x v="2"/>
  </r>
  <r>
    <n v="1692"/>
    <d v="2023-12-09T00:00:00"/>
    <x v="6"/>
    <x v="16"/>
    <n v="663"/>
    <n v="3"/>
    <n v="1989"/>
    <n v="48"/>
    <x v="1"/>
    <x v="7"/>
    <x v="0"/>
    <x v="2"/>
    <x v="3"/>
    <x v="0"/>
    <x v="11"/>
    <x v="1"/>
  </r>
  <r>
    <n v="1693"/>
    <d v="2023-07-30T00:00:00"/>
    <x v="0"/>
    <x v="10"/>
    <n v="1122"/>
    <n v="3"/>
    <n v="3366"/>
    <n v="20"/>
    <x v="1"/>
    <x v="5"/>
    <x v="4"/>
    <x v="0"/>
    <x v="4"/>
    <x v="0"/>
    <x v="4"/>
    <x v="0"/>
  </r>
  <r>
    <n v="1694"/>
    <d v="2023-09-30T00:00:00"/>
    <x v="1"/>
    <x v="35"/>
    <n v="1072"/>
    <n v="1"/>
    <n v="1072"/>
    <n v="32"/>
    <x v="1"/>
    <x v="2"/>
    <x v="5"/>
    <x v="3"/>
    <x v="3"/>
    <x v="1"/>
    <x v="1"/>
    <x v="1"/>
  </r>
  <r>
    <n v="1695"/>
    <d v="2023-04-03T00:00:00"/>
    <x v="0"/>
    <x v="34"/>
    <n v="146"/>
    <n v="5"/>
    <n v="730"/>
    <n v="22"/>
    <x v="1"/>
    <x v="9"/>
    <x v="3"/>
    <x v="0"/>
    <x v="2"/>
    <x v="1"/>
    <x v="8"/>
    <x v="0"/>
  </r>
  <r>
    <n v="1696"/>
    <d v="2023-12-25T00:00:00"/>
    <x v="5"/>
    <x v="11"/>
    <n v="220"/>
    <n v="3"/>
    <n v="660"/>
    <n v="45"/>
    <x v="0"/>
    <x v="4"/>
    <x v="1"/>
    <x v="1"/>
    <x v="5"/>
    <x v="1"/>
    <x v="11"/>
    <x v="1"/>
  </r>
  <r>
    <n v="1697"/>
    <d v="2023-08-24T00:00:00"/>
    <x v="1"/>
    <x v="1"/>
    <n v="1032"/>
    <n v="5"/>
    <n v="5160"/>
    <n v="35"/>
    <x v="1"/>
    <x v="7"/>
    <x v="0"/>
    <x v="1"/>
    <x v="0"/>
    <x v="1"/>
    <x v="7"/>
    <x v="1"/>
  </r>
  <r>
    <n v="1698"/>
    <d v="2024-01-15T00:00:00"/>
    <x v="2"/>
    <x v="30"/>
    <n v="1187"/>
    <n v="5"/>
    <n v="5935"/>
    <n v="47"/>
    <x v="0"/>
    <x v="8"/>
    <x v="5"/>
    <x v="0"/>
    <x v="1"/>
    <x v="1"/>
    <x v="2"/>
    <x v="1"/>
  </r>
  <r>
    <n v="1699"/>
    <d v="2024-01-08T00:00:00"/>
    <x v="5"/>
    <x v="17"/>
    <n v="402"/>
    <n v="1"/>
    <n v="402"/>
    <n v="28"/>
    <x v="1"/>
    <x v="7"/>
    <x v="2"/>
    <x v="2"/>
    <x v="3"/>
    <x v="1"/>
    <x v="2"/>
    <x v="0"/>
  </r>
  <r>
    <n v="1700"/>
    <d v="2024-01-14T00:00:00"/>
    <x v="3"/>
    <x v="21"/>
    <n v="453"/>
    <n v="3"/>
    <n v="1359"/>
    <n v="35"/>
    <x v="1"/>
    <x v="3"/>
    <x v="3"/>
    <x v="4"/>
    <x v="1"/>
    <x v="1"/>
    <x v="2"/>
    <x v="1"/>
  </r>
  <r>
    <n v="1701"/>
    <d v="2023-03-17T00:00:00"/>
    <x v="3"/>
    <x v="21"/>
    <n v="665"/>
    <n v="3"/>
    <n v="1995"/>
    <n v="30"/>
    <x v="0"/>
    <x v="4"/>
    <x v="4"/>
    <x v="3"/>
    <x v="3"/>
    <x v="1"/>
    <x v="3"/>
    <x v="1"/>
  </r>
  <r>
    <n v="1702"/>
    <d v="2024-02-03T00:00:00"/>
    <x v="0"/>
    <x v="22"/>
    <n v="559"/>
    <n v="5"/>
    <n v="2795"/>
    <n v="20"/>
    <x v="0"/>
    <x v="3"/>
    <x v="5"/>
    <x v="0"/>
    <x v="5"/>
    <x v="1"/>
    <x v="6"/>
    <x v="0"/>
  </r>
  <r>
    <n v="1703"/>
    <d v="2023-07-30T00:00:00"/>
    <x v="6"/>
    <x v="18"/>
    <n v="394"/>
    <n v="3"/>
    <n v="1182"/>
    <n v="20"/>
    <x v="1"/>
    <x v="4"/>
    <x v="5"/>
    <x v="3"/>
    <x v="4"/>
    <x v="0"/>
    <x v="4"/>
    <x v="0"/>
  </r>
  <r>
    <n v="1704"/>
    <d v="2023-11-06T00:00:00"/>
    <x v="4"/>
    <x v="4"/>
    <n v="185"/>
    <n v="2"/>
    <n v="370"/>
    <n v="54"/>
    <x v="1"/>
    <x v="0"/>
    <x v="0"/>
    <x v="2"/>
    <x v="1"/>
    <x v="0"/>
    <x v="10"/>
    <x v="2"/>
  </r>
  <r>
    <n v="1705"/>
    <d v="2024-01-10T00:00:00"/>
    <x v="1"/>
    <x v="1"/>
    <n v="1225"/>
    <n v="3"/>
    <n v="3675"/>
    <n v="38"/>
    <x v="1"/>
    <x v="1"/>
    <x v="1"/>
    <x v="0"/>
    <x v="1"/>
    <x v="1"/>
    <x v="2"/>
    <x v="1"/>
  </r>
  <r>
    <n v="1706"/>
    <d v="2023-02-12T00:00:00"/>
    <x v="4"/>
    <x v="4"/>
    <n v="950"/>
    <n v="3"/>
    <n v="2850"/>
    <n v="50"/>
    <x v="0"/>
    <x v="3"/>
    <x v="3"/>
    <x v="2"/>
    <x v="4"/>
    <x v="0"/>
    <x v="6"/>
    <x v="2"/>
  </r>
  <r>
    <n v="1707"/>
    <d v="2023-09-11T00:00:00"/>
    <x v="3"/>
    <x v="26"/>
    <n v="1329"/>
    <n v="3"/>
    <n v="3987"/>
    <n v="21"/>
    <x v="1"/>
    <x v="2"/>
    <x v="4"/>
    <x v="4"/>
    <x v="3"/>
    <x v="0"/>
    <x v="1"/>
    <x v="0"/>
  </r>
  <r>
    <n v="1708"/>
    <d v="2023-12-28T00:00:00"/>
    <x v="4"/>
    <x v="6"/>
    <n v="319"/>
    <n v="3"/>
    <n v="957"/>
    <n v="36"/>
    <x v="1"/>
    <x v="4"/>
    <x v="5"/>
    <x v="3"/>
    <x v="2"/>
    <x v="0"/>
    <x v="11"/>
    <x v="1"/>
  </r>
  <r>
    <n v="1709"/>
    <d v="2023-11-08T00:00:00"/>
    <x v="3"/>
    <x v="23"/>
    <n v="363"/>
    <n v="4"/>
    <n v="1452"/>
    <n v="52"/>
    <x v="1"/>
    <x v="1"/>
    <x v="4"/>
    <x v="4"/>
    <x v="3"/>
    <x v="1"/>
    <x v="10"/>
    <x v="2"/>
  </r>
  <r>
    <n v="1710"/>
    <d v="2023-12-15T00:00:00"/>
    <x v="5"/>
    <x v="11"/>
    <n v="974"/>
    <n v="4"/>
    <n v="3896"/>
    <n v="41"/>
    <x v="0"/>
    <x v="2"/>
    <x v="4"/>
    <x v="4"/>
    <x v="5"/>
    <x v="0"/>
    <x v="11"/>
    <x v="1"/>
  </r>
  <r>
    <n v="1711"/>
    <d v="2023-11-29T00:00:00"/>
    <x v="3"/>
    <x v="26"/>
    <n v="166"/>
    <n v="2"/>
    <n v="332"/>
    <n v="23"/>
    <x v="0"/>
    <x v="0"/>
    <x v="3"/>
    <x v="1"/>
    <x v="4"/>
    <x v="1"/>
    <x v="10"/>
    <x v="0"/>
  </r>
  <r>
    <n v="1712"/>
    <d v="2023-05-25T00:00:00"/>
    <x v="6"/>
    <x v="33"/>
    <n v="531"/>
    <n v="3"/>
    <n v="1593"/>
    <n v="26"/>
    <x v="1"/>
    <x v="3"/>
    <x v="5"/>
    <x v="1"/>
    <x v="1"/>
    <x v="0"/>
    <x v="9"/>
    <x v="0"/>
  </r>
  <r>
    <n v="1713"/>
    <d v="2023-04-30T00:00:00"/>
    <x v="3"/>
    <x v="25"/>
    <n v="535"/>
    <n v="4"/>
    <n v="2140"/>
    <n v="26"/>
    <x v="0"/>
    <x v="9"/>
    <x v="0"/>
    <x v="4"/>
    <x v="1"/>
    <x v="1"/>
    <x v="8"/>
    <x v="0"/>
  </r>
  <r>
    <n v="1714"/>
    <d v="2023-09-30T00:00:00"/>
    <x v="4"/>
    <x v="4"/>
    <n v="498"/>
    <n v="1"/>
    <n v="498"/>
    <n v="26"/>
    <x v="0"/>
    <x v="7"/>
    <x v="5"/>
    <x v="2"/>
    <x v="4"/>
    <x v="1"/>
    <x v="1"/>
    <x v="0"/>
  </r>
  <r>
    <n v="1715"/>
    <d v="2023-10-21T00:00:00"/>
    <x v="1"/>
    <x v="31"/>
    <n v="985"/>
    <n v="2"/>
    <n v="1970"/>
    <n v="34"/>
    <x v="1"/>
    <x v="9"/>
    <x v="0"/>
    <x v="3"/>
    <x v="2"/>
    <x v="0"/>
    <x v="0"/>
    <x v="1"/>
  </r>
  <r>
    <n v="1716"/>
    <d v="2023-05-03T00:00:00"/>
    <x v="6"/>
    <x v="8"/>
    <n v="1342"/>
    <n v="2"/>
    <n v="2684"/>
    <n v="56"/>
    <x v="0"/>
    <x v="4"/>
    <x v="3"/>
    <x v="4"/>
    <x v="1"/>
    <x v="1"/>
    <x v="9"/>
    <x v="2"/>
  </r>
  <r>
    <n v="1717"/>
    <d v="2023-10-30T00:00:00"/>
    <x v="2"/>
    <x v="20"/>
    <n v="136"/>
    <n v="4"/>
    <n v="544"/>
    <n v="19"/>
    <x v="0"/>
    <x v="7"/>
    <x v="3"/>
    <x v="1"/>
    <x v="1"/>
    <x v="1"/>
    <x v="0"/>
    <x v="0"/>
  </r>
  <r>
    <n v="1718"/>
    <d v="2023-03-05T00:00:00"/>
    <x v="6"/>
    <x v="24"/>
    <n v="712"/>
    <n v="3"/>
    <n v="2136"/>
    <n v="46"/>
    <x v="0"/>
    <x v="9"/>
    <x v="4"/>
    <x v="2"/>
    <x v="3"/>
    <x v="0"/>
    <x v="3"/>
    <x v="1"/>
  </r>
  <r>
    <n v="1719"/>
    <d v="2023-12-04T00:00:00"/>
    <x v="0"/>
    <x v="10"/>
    <n v="254"/>
    <n v="1"/>
    <n v="254"/>
    <n v="29"/>
    <x v="0"/>
    <x v="0"/>
    <x v="5"/>
    <x v="2"/>
    <x v="2"/>
    <x v="1"/>
    <x v="11"/>
    <x v="0"/>
  </r>
  <r>
    <n v="1720"/>
    <d v="2023-07-19T00:00:00"/>
    <x v="2"/>
    <x v="20"/>
    <n v="1135"/>
    <n v="2"/>
    <n v="2270"/>
    <n v="48"/>
    <x v="0"/>
    <x v="3"/>
    <x v="2"/>
    <x v="2"/>
    <x v="1"/>
    <x v="0"/>
    <x v="4"/>
    <x v="1"/>
  </r>
  <r>
    <n v="1721"/>
    <d v="2023-02-28T00:00:00"/>
    <x v="2"/>
    <x v="20"/>
    <n v="244"/>
    <n v="1"/>
    <n v="244"/>
    <n v="53"/>
    <x v="1"/>
    <x v="5"/>
    <x v="5"/>
    <x v="1"/>
    <x v="5"/>
    <x v="0"/>
    <x v="6"/>
    <x v="2"/>
  </r>
  <r>
    <n v="1722"/>
    <d v="2024-01-31T00:00:00"/>
    <x v="2"/>
    <x v="2"/>
    <n v="1083"/>
    <n v="4"/>
    <n v="4332"/>
    <n v="21"/>
    <x v="0"/>
    <x v="4"/>
    <x v="0"/>
    <x v="3"/>
    <x v="4"/>
    <x v="1"/>
    <x v="2"/>
    <x v="0"/>
  </r>
  <r>
    <n v="1723"/>
    <d v="2023-11-06T00:00:00"/>
    <x v="2"/>
    <x v="28"/>
    <n v="713"/>
    <n v="2"/>
    <n v="1426"/>
    <n v="49"/>
    <x v="1"/>
    <x v="6"/>
    <x v="3"/>
    <x v="2"/>
    <x v="1"/>
    <x v="0"/>
    <x v="10"/>
    <x v="1"/>
  </r>
  <r>
    <n v="1724"/>
    <d v="2023-05-21T00:00:00"/>
    <x v="5"/>
    <x v="15"/>
    <n v="1097"/>
    <n v="1"/>
    <n v="1097"/>
    <n v="21"/>
    <x v="1"/>
    <x v="2"/>
    <x v="4"/>
    <x v="4"/>
    <x v="5"/>
    <x v="1"/>
    <x v="9"/>
    <x v="0"/>
  </r>
  <r>
    <n v="1725"/>
    <d v="2023-05-02T00:00:00"/>
    <x v="3"/>
    <x v="26"/>
    <n v="1260"/>
    <n v="4"/>
    <n v="5040"/>
    <n v="19"/>
    <x v="0"/>
    <x v="2"/>
    <x v="0"/>
    <x v="0"/>
    <x v="4"/>
    <x v="1"/>
    <x v="9"/>
    <x v="0"/>
  </r>
  <r>
    <n v="1726"/>
    <d v="2023-10-23T00:00:00"/>
    <x v="6"/>
    <x v="8"/>
    <n v="1236"/>
    <n v="3"/>
    <n v="3708"/>
    <n v="57"/>
    <x v="1"/>
    <x v="9"/>
    <x v="0"/>
    <x v="2"/>
    <x v="2"/>
    <x v="0"/>
    <x v="0"/>
    <x v="2"/>
  </r>
  <r>
    <n v="1727"/>
    <d v="2023-06-17T00:00:00"/>
    <x v="5"/>
    <x v="17"/>
    <n v="767"/>
    <n v="5"/>
    <n v="3835"/>
    <n v="48"/>
    <x v="0"/>
    <x v="4"/>
    <x v="1"/>
    <x v="2"/>
    <x v="3"/>
    <x v="1"/>
    <x v="5"/>
    <x v="1"/>
  </r>
  <r>
    <n v="1728"/>
    <d v="2023-12-13T00:00:00"/>
    <x v="4"/>
    <x v="4"/>
    <n v="105"/>
    <n v="2"/>
    <n v="210"/>
    <n v="23"/>
    <x v="0"/>
    <x v="7"/>
    <x v="0"/>
    <x v="3"/>
    <x v="5"/>
    <x v="1"/>
    <x v="11"/>
    <x v="0"/>
  </r>
  <r>
    <n v="1729"/>
    <d v="2023-05-11T00:00:00"/>
    <x v="0"/>
    <x v="34"/>
    <n v="1488"/>
    <n v="5"/>
    <n v="7440"/>
    <n v="51"/>
    <x v="0"/>
    <x v="6"/>
    <x v="3"/>
    <x v="2"/>
    <x v="5"/>
    <x v="0"/>
    <x v="9"/>
    <x v="2"/>
  </r>
  <r>
    <n v="1730"/>
    <d v="2023-04-12T00:00:00"/>
    <x v="4"/>
    <x v="4"/>
    <n v="92"/>
    <n v="5"/>
    <n v="460"/>
    <n v="26"/>
    <x v="1"/>
    <x v="8"/>
    <x v="5"/>
    <x v="0"/>
    <x v="5"/>
    <x v="0"/>
    <x v="8"/>
    <x v="0"/>
  </r>
  <r>
    <n v="1731"/>
    <d v="2023-09-21T00:00:00"/>
    <x v="2"/>
    <x v="2"/>
    <n v="975"/>
    <n v="5"/>
    <n v="4875"/>
    <n v="22"/>
    <x v="0"/>
    <x v="1"/>
    <x v="1"/>
    <x v="4"/>
    <x v="4"/>
    <x v="1"/>
    <x v="1"/>
    <x v="0"/>
  </r>
  <r>
    <n v="1732"/>
    <d v="2023-04-17T00:00:00"/>
    <x v="1"/>
    <x v="9"/>
    <n v="1212"/>
    <n v="2"/>
    <n v="2424"/>
    <n v="33"/>
    <x v="1"/>
    <x v="7"/>
    <x v="1"/>
    <x v="4"/>
    <x v="3"/>
    <x v="1"/>
    <x v="8"/>
    <x v="1"/>
  </r>
  <r>
    <n v="1733"/>
    <d v="2023-02-08T00:00:00"/>
    <x v="1"/>
    <x v="27"/>
    <n v="909"/>
    <n v="2"/>
    <n v="1818"/>
    <n v="55"/>
    <x v="0"/>
    <x v="0"/>
    <x v="4"/>
    <x v="4"/>
    <x v="5"/>
    <x v="0"/>
    <x v="6"/>
    <x v="2"/>
  </r>
  <r>
    <n v="1734"/>
    <d v="2023-07-22T00:00:00"/>
    <x v="2"/>
    <x v="30"/>
    <n v="623"/>
    <n v="1"/>
    <n v="623"/>
    <n v="50"/>
    <x v="1"/>
    <x v="5"/>
    <x v="1"/>
    <x v="1"/>
    <x v="4"/>
    <x v="0"/>
    <x v="4"/>
    <x v="2"/>
  </r>
  <r>
    <n v="1735"/>
    <d v="2023-10-13T00:00:00"/>
    <x v="0"/>
    <x v="10"/>
    <n v="432"/>
    <n v="4"/>
    <n v="1728"/>
    <n v="48"/>
    <x v="0"/>
    <x v="5"/>
    <x v="4"/>
    <x v="4"/>
    <x v="5"/>
    <x v="0"/>
    <x v="0"/>
    <x v="1"/>
  </r>
  <r>
    <n v="1736"/>
    <d v="2023-01-05T00:00:00"/>
    <x v="1"/>
    <x v="31"/>
    <n v="556"/>
    <n v="5"/>
    <n v="2780"/>
    <n v="32"/>
    <x v="1"/>
    <x v="3"/>
    <x v="1"/>
    <x v="4"/>
    <x v="2"/>
    <x v="0"/>
    <x v="2"/>
    <x v="1"/>
  </r>
  <r>
    <n v="1737"/>
    <d v="2023-11-10T00:00:00"/>
    <x v="0"/>
    <x v="10"/>
    <n v="852"/>
    <n v="2"/>
    <n v="1704"/>
    <n v="39"/>
    <x v="0"/>
    <x v="4"/>
    <x v="5"/>
    <x v="4"/>
    <x v="3"/>
    <x v="1"/>
    <x v="10"/>
    <x v="1"/>
  </r>
  <r>
    <n v="1738"/>
    <d v="2023-03-23T00:00:00"/>
    <x v="4"/>
    <x v="4"/>
    <n v="511"/>
    <n v="3"/>
    <n v="1533"/>
    <n v="33"/>
    <x v="1"/>
    <x v="2"/>
    <x v="1"/>
    <x v="3"/>
    <x v="4"/>
    <x v="0"/>
    <x v="3"/>
    <x v="1"/>
  </r>
  <r>
    <n v="1739"/>
    <d v="2023-07-30T00:00:00"/>
    <x v="0"/>
    <x v="14"/>
    <n v="827"/>
    <n v="5"/>
    <n v="4135"/>
    <n v="24"/>
    <x v="0"/>
    <x v="9"/>
    <x v="0"/>
    <x v="0"/>
    <x v="2"/>
    <x v="0"/>
    <x v="4"/>
    <x v="0"/>
  </r>
  <r>
    <n v="1740"/>
    <d v="2023-12-29T00:00:00"/>
    <x v="3"/>
    <x v="21"/>
    <n v="164"/>
    <n v="3"/>
    <n v="492"/>
    <n v="30"/>
    <x v="1"/>
    <x v="9"/>
    <x v="4"/>
    <x v="2"/>
    <x v="5"/>
    <x v="0"/>
    <x v="11"/>
    <x v="1"/>
  </r>
  <r>
    <n v="1741"/>
    <d v="2023-03-06T00:00:00"/>
    <x v="3"/>
    <x v="21"/>
    <n v="744"/>
    <n v="1"/>
    <n v="744"/>
    <n v="19"/>
    <x v="0"/>
    <x v="3"/>
    <x v="0"/>
    <x v="4"/>
    <x v="2"/>
    <x v="0"/>
    <x v="3"/>
    <x v="0"/>
  </r>
  <r>
    <n v="1742"/>
    <d v="2023-08-01T00:00:00"/>
    <x v="1"/>
    <x v="9"/>
    <n v="149"/>
    <n v="2"/>
    <n v="298"/>
    <n v="46"/>
    <x v="0"/>
    <x v="1"/>
    <x v="4"/>
    <x v="0"/>
    <x v="4"/>
    <x v="0"/>
    <x v="7"/>
    <x v="1"/>
  </r>
  <r>
    <n v="1743"/>
    <d v="2023-08-23T00:00:00"/>
    <x v="0"/>
    <x v="34"/>
    <n v="146"/>
    <n v="1"/>
    <n v="146"/>
    <n v="48"/>
    <x v="0"/>
    <x v="1"/>
    <x v="0"/>
    <x v="1"/>
    <x v="4"/>
    <x v="1"/>
    <x v="7"/>
    <x v="1"/>
  </r>
  <r>
    <n v="1744"/>
    <d v="2023-07-02T00:00:00"/>
    <x v="3"/>
    <x v="23"/>
    <n v="154"/>
    <n v="3"/>
    <n v="462"/>
    <n v="36"/>
    <x v="1"/>
    <x v="6"/>
    <x v="0"/>
    <x v="1"/>
    <x v="4"/>
    <x v="1"/>
    <x v="4"/>
    <x v="1"/>
  </r>
  <r>
    <n v="1745"/>
    <d v="2023-07-22T00:00:00"/>
    <x v="3"/>
    <x v="25"/>
    <n v="791"/>
    <n v="2"/>
    <n v="1582"/>
    <n v="18"/>
    <x v="0"/>
    <x v="9"/>
    <x v="2"/>
    <x v="2"/>
    <x v="3"/>
    <x v="1"/>
    <x v="4"/>
    <x v="0"/>
  </r>
  <r>
    <n v="1746"/>
    <d v="2023-05-28T00:00:00"/>
    <x v="4"/>
    <x v="13"/>
    <n v="82"/>
    <n v="5"/>
    <n v="410"/>
    <n v="35"/>
    <x v="1"/>
    <x v="2"/>
    <x v="0"/>
    <x v="0"/>
    <x v="3"/>
    <x v="0"/>
    <x v="9"/>
    <x v="1"/>
  </r>
  <r>
    <n v="1747"/>
    <d v="2024-01-26T00:00:00"/>
    <x v="0"/>
    <x v="12"/>
    <n v="1410"/>
    <n v="1"/>
    <n v="1410"/>
    <n v="18"/>
    <x v="0"/>
    <x v="4"/>
    <x v="1"/>
    <x v="3"/>
    <x v="4"/>
    <x v="1"/>
    <x v="2"/>
    <x v="0"/>
  </r>
  <r>
    <n v="1748"/>
    <d v="2023-11-08T00:00:00"/>
    <x v="3"/>
    <x v="3"/>
    <n v="774"/>
    <n v="3"/>
    <n v="2322"/>
    <n v="18"/>
    <x v="1"/>
    <x v="7"/>
    <x v="3"/>
    <x v="3"/>
    <x v="0"/>
    <x v="0"/>
    <x v="10"/>
    <x v="0"/>
  </r>
  <r>
    <n v="1749"/>
    <d v="2023-09-12T00:00:00"/>
    <x v="5"/>
    <x v="32"/>
    <n v="483"/>
    <n v="3"/>
    <n v="1449"/>
    <n v="50"/>
    <x v="1"/>
    <x v="8"/>
    <x v="5"/>
    <x v="4"/>
    <x v="3"/>
    <x v="0"/>
    <x v="1"/>
    <x v="2"/>
  </r>
  <r>
    <n v="1750"/>
    <d v="2024-01-29T00:00:00"/>
    <x v="4"/>
    <x v="19"/>
    <n v="507"/>
    <n v="5"/>
    <n v="2535"/>
    <n v="27"/>
    <x v="0"/>
    <x v="7"/>
    <x v="5"/>
    <x v="2"/>
    <x v="2"/>
    <x v="1"/>
    <x v="2"/>
    <x v="0"/>
  </r>
  <r>
    <n v="1751"/>
    <d v="2023-07-09T00:00:00"/>
    <x v="5"/>
    <x v="17"/>
    <n v="967"/>
    <n v="2"/>
    <n v="1934"/>
    <n v="34"/>
    <x v="1"/>
    <x v="7"/>
    <x v="1"/>
    <x v="1"/>
    <x v="2"/>
    <x v="1"/>
    <x v="4"/>
    <x v="1"/>
  </r>
  <r>
    <n v="1752"/>
    <d v="2023-12-27T00:00:00"/>
    <x v="0"/>
    <x v="10"/>
    <n v="1213"/>
    <n v="2"/>
    <n v="2426"/>
    <n v="55"/>
    <x v="1"/>
    <x v="0"/>
    <x v="4"/>
    <x v="0"/>
    <x v="1"/>
    <x v="1"/>
    <x v="11"/>
    <x v="2"/>
  </r>
  <r>
    <n v="1753"/>
    <d v="2023-01-24T00:00:00"/>
    <x v="0"/>
    <x v="34"/>
    <n v="238"/>
    <n v="5"/>
    <n v="1190"/>
    <n v="59"/>
    <x v="1"/>
    <x v="7"/>
    <x v="3"/>
    <x v="1"/>
    <x v="4"/>
    <x v="1"/>
    <x v="2"/>
    <x v="2"/>
  </r>
  <r>
    <n v="1754"/>
    <d v="2023-12-22T00:00:00"/>
    <x v="6"/>
    <x v="24"/>
    <n v="629"/>
    <n v="5"/>
    <n v="3145"/>
    <n v="54"/>
    <x v="0"/>
    <x v="3"/>
    <x v="2"/>
    <x v="0"/>
    <x v="2"/>
    <x v="0"/>
    <x v="11"/>
    <x v="2"/>
  </r>
  <r>
    <n v="1755"/>
    <d v="2023-06-06T00:00:00"/>
    <x v="3"/>
    <x v="26"/>
    <n v="77"/>
    <n v="2"/>
    <n v="154"/>
    <n v="45"/>
    <x v="1"/>
    <x v="9"/>
    <x v="4"/>
    <x v="0"/>
    <x v="2"/>
    <x v="1"/>
    <x v="5"/>
    <x v="1"/>
  </r>
  <r>
    <n v="1756"/>
    <d v="2023-01-14T00:00:00"/>
    <x v="5"/>
    <x v="11"/>
    <n v="135"/>
    <n v="1"/>
    <n v="135"/>
    <n v="50"/>
    <x v="0"/>
    <x v="1"/>
    <x v="5"/>
    <x v="1"/>
    <x v="4"/>
    <x v="0"/>
    <x v="2"/>
    <x v="2"/>
  </r>
  <r>
    <n v="1757"/>
    <d v="2024-01-22T00:00:00"/>
    <x v="6"/>
    <x v="16"/>
    <n v="804"/>
    <n v="4"/>
    <n v="3216"/>
    <n v="37"/>
    <x v="0"/>
    <x v="9"/>
    <x v="1"/>
    <x v="2"/>
    <x v="2"/>
    <x v="1"/>
    <x v="2"/>
    <x v="1"/>
  </r>
  <r>
    <n v="1758"/>
    <d v="2023-07-11T00:00:00"/>
    <x v="6"/>
    <x v="18"/>
    <n v="569"/>
    <n v="4"/>
    <n v="2276"/>
    <n v="25"/>
    <x v="1"/>
    <x v="8"/>
    <x v="5"/>
    <x v="0"/>
    <x v="4"/>
    <x v="0"/>
    <x v="4"/>
    <x v="0"/>
  </r>
  <r>
    <n v="1759"/>
    <d v="2023-09-08T00:00:00"/>
    <x v="3"/>
    <x v="26"/>
    <n v="1108"/>
    <n v="5"/>
    <n v="5540"/>
    <n v="40"/>
    <x v="1"/>
    <x v="2"/>
    <x v="4"/>
    <x v="0"/>
    <x v="0"/>
    <x v="0"/>
    <x v="1"/>
    <x v="1"/>
  </r>
  <r>
    <n v="1760"/>
    <d v="2023-09-24T00:00:00"/>
    <x v="4"/>
    <x v="19"/>
    <n v="796"/>
    <n v="3"/>
    <n v="2388"/>
    <n v="19"/>
    <x v="1"/>
    <x v="2"/>
    <x v="2"/>
    <x v="0"/>
    <x v="4"/>
    <x v="1"/>
    <x v="1"/>
    <x v="0"/>
  </r>
  <r>
    <n v="1761"/>
    <d v="2023-09-29T00:00:00"/>
    <x v="1"/>
    <x v="1"/>
    <n v="864"/>
    <n v="1"/>
    <n v="864"/>
    <n v="45"/>
    <x v="1"/>
    <x v="4"/>
    <x v="2"/>
    <x v="3"/>
    <x v="1"/>
    <x v="1"/>
    <x v="1"/>
    <x v="1"/>
  </r>
  <r>
    <n v="1762"/>
    <d v="2023-03-18T00:00:00"/>
    <x v="6"/>
    <x v="18"/>
    <n v="97"/>
    <n v="4"/>
    <n v="388"/>
    <n v="21"/>
    <x v="0"/>
    <x v="0"/>
    <x v="5"/>
    <x v="4"/>
    <x v="2"/>
    <x v="1"/>
    <x v="3"/>
    <x v="0"/>
  </r>
  <r>
    <n v="1763"/>
    <d v="2023-05-11T00:00:00"/>
    <x v="6"/>
    <x v="18"/>
    <n v="472"/>
    <n v="1"/>
    <n v="472"/>
    <n v="46"/>
    <x v="0"/>
    <x v="0"/>
    <x v="4"/>
    <x v="1"/>
    <x v="0"/>
    <x v="1"/>
    <x v="9"/>
    <x v="1"/>
  </r>
  <r>
    <n v="1764"/>
    <d v="2023-12-23T00:00:00"/>
    <x v="4"/>
    <x v="13"/>
    <n v="501"/>
    <n v="3"/>
    <n v="1503"/>
    <n v="42"/>
    <x v="0"/>
    <x v="0"/>
    <x v="0"/>
    <x v="2"/>
    <x v="4"/>
    <x v="0"/>
    <x v="11"/>
    <x v="1"/>
  </r>
  <r>
    <n v="1765"/>
    <d v="2024-01-15T00:00:00"/>
    <x v="2"/>
    <x v="30"/>
    <n v="55"/>
    <n v="4"/>
    <n v="220"/>
    <n v="18"/>
    <x v="0"/>
    <x v="3"/>
    <x v="2"/>
    <x v="4"/>
    <x v="4"/>
    <x v="0"/>
    <x v="2"/>
    <x v="0"/>
  </r>
  <r>
    <n v="1766"/>
    <d v="2023-04-24T00:00:00"/>
    <x v="3"/>
    <x v="3"/>
    <n v="642"/>
    <n v="2"/>
    <n v="1284"/>
    <n v="55"/>
    <x v="1"/>
    <x v="0"/>
    <x v="3"/>
    <x v="3"/>
    <x v="1"/>
    <x v="1"/>
    <x v="8"/>
    <x v="2"/>
  </r>
  <r>
    <n v="1767"/>
    <d v="2023-04-15T00:00:00"/>
    <x v="0"/>
    <x v="34"/>
    <n v="1246"/>
    <n v="3"/>
    <n v="3738"/>
    <n v="49"/>
    <x v="1"/>
    <x v="4"/>
    <x v="3"/>
    <x v="4"/>
    <x v="4"/>
    <x v="0"/>
    <x v="8"/>
    <x v="1"/>
  </r>
  <r>
    <n v="1768"/>
    <d v="2023-03-31T00:00:00"/>
    <x v="1"/>
    <x v="31"/>
    <n v="401"/>
    <n v="2"/>
    <n v="802"/>
    <n v="25"/>
    <x v="1"/>
    <x v="5"/>
    <x v="5"/>
    <x v="4"/>
    <x v="1"/>
    <x v="1"/>
    <x v="3"/>
    <x v="0"/>
  </r>
  <r>
    <n v="1769"/>
    <d v="2023-04-16T00:00:00"/>
    <x v="6"/>
    <x v="24"/>
    <n v="875"/>
    <n v="1"/>
    <n v="875"/>
    <n v="25"/>
    <x v="0"/>
    <x v="1"/>
    <x v="3"/>
    <x v="3"/>
    <x v="5"/>
    <x v="1"/>
    <x v="8"/>
    <x v="0"/>
  </r>
  <r>
    <n v="1770"/>
    <d v="2023-01-23T00:00:00"/>
    <x v="6"/>
    <x v="18"/>
    <n v="505"/>
    <n v="5"/>
    <n v="2525"/>
    <n v="52"/>
    <x v="1"/>
    <x v="8"/>
    <x v="1"/>
    <x v="0"/>
    <x v="5"/>
    <x v="0"/>
    <x v="2"/>
    <x v="2"/>
  </r>
  <r>
    <n v="1771"/>
    <d v="2023-12-22T00:00:00"/>
    <x v="6"/>
    <x v="16"/>
    <n v="1316"/>
    <n v="3"/>
    <n v="3948"/>
    <n v="20"/>
    <x v="1"/>
    <x v="9"/>
    <x v="3"/>
    <x v="3"/>
    <x v="5"/>
    <x v="1"/>
    <x v="11"/>
    <x v="0"/>
  </r>
  <r>
    <n v="1772"/>
    <d v="2023-08-04T00:00:00"/>
    <x v="2"/>
    <x v="5"/>
    <n v="316"/>
    <n v="3"/>
    <n v="948"/>
    <n v="35"/>
    <x v="0"/>
    <x v="3"/>
    <x v="1"/>
    <x v="0"/>
    <x v="0"/>
    <x v="1"/>
    <x v="7"/>
    <x v="1"/>
  </r>
  <r>
    <n v="1773"/>
    <d v="2023-10-21T00:00:00"/>
    <x v="5"/>
    <x v="32"/>
    <n v="136"/>
    <n v="3"/>
    <n v="408"/>
    <n v="18"/>
    <x v="0"/>
    <x v="5"/>
    <x v="0"/>
    <x v="3"/>
    <x v="0"/>
    <x v="1"/>
    <x v="0"/>
    <x v="0"/>
  </r>
  <r>
    <n v="1774"/>
    <d v="2023-12-01T00:00:00"/>
    <x v="2"/>
    <x v="30"/>
    <n v="56"/>
    <n v="4"/>
    <n v="224"/>
    <n v="18"/>
    <x v="0"/>
    <x v="5"/>
    <x v="4"/>
    <x v="3"/>
    <x v="5"/>
    <x v="0"/>
    <x v="11"/>
    <x v="0"/>
  </r>
  <r>
    <n v="1775"/>
    <d v="2023-09-14T00:00:00"/>
    <x v="5"/>
    <x v="7"/>
    <n v="1235"/>
    <n v="3"/>
    <n v="3705"/>
    <n v="26"/>
    <x v="1"/>
    <x v="8"/>
    <x v="4"/>
    <x v="2"/>
    <x v="3"/>
    <x v="1"/>
    <x v="1"/>
    <x v="0"/>
  </r>
  <r>
    <n v="1776"/>
    <d v="2023-10-07T00:00:00"/>
    <x v="3"/>
    <x v="3"/>
    <n v="604"/>
    <n v="1"/>
    <n v="604"/>
    <n v="60"/>
    <x v="1"/>
    <x v="7"/>
    <x v="5"/>
    <x v="1"/>
    <x v="4"/>
    <x v="0"/>
    <x v="0"/>
    <x v="2"/>
  </r>
  <r>
    <n v="1777"/>
    <d v="2023-08-23T00:00:00"/>
    <x v="4"/>
    <x v="29"/>
    <n v="410"/>
    <n v="5"/>
    <n v="2050"/>
    <n v="33"/>
    <x v="0"/>
    <x v="2"/>
    <x v="3"/>
    <x v="1"/>
    <x v="0"/>
    <x v="0"/>
    <x v="7"/>
    <x v="1"/>
  </r>
  <r>
    <n v="1778"/>
    <d v="2024-01-13T00:00:00"/>
    <x v="3"/>
    <x v="3"/>
    <n v="798"/>
    <n v="5"/>
    <n v="3990"/>
    <n v="26"/>
    <x v="1"/>
    <x v="5"/>
    <x v="1"/>
    <x v="4"/>
    <x v="1"/>
    <x v="1"/>
    <x v="2"/>
    <x v="0"/>
  </r>
  <r>
    <n v="1779"/>
    <d v="2023-05-01T00:00:00"/>
    <x v="0"/>
    <x v="34"/>
    <n v="647"/>
    <n v="4"/>
    <n v="2588"/>
    <n v="56"/>
    <x v="1"/>
    <x v="0"/>
    <x v="2"/>
    <x v="3"/>
    <x v="1"/>
    <x v="0"/>
    <x v="9"/>
    <x v="2"/>
  </r>
  <r>
    <n v="1780"/>
    <d v="2023-11-20T00:00:00"/>
    <x v="6"/>
    <x v="16"/>
    <n v="632"/>
    <n v="2"/>
    <n v="1264"/>
    <n v="34"/>
    <x v="0"/>
    <x v="9"/>
    <x v="2"/>
    <x v="2"/>
    <x v="4"/>
    <x v="0"/>
    <x v="10"/>
    <x v="1"/>
  </r>
  <r>
    <n v="1781"/>
    <d v="2023-08-09T00:00:00"/>
    <x v="5"/>
    <x v="17"/>
    <n v="185"/>
    <n v="1"/>
    <n v="185"/>
    <n v="27"/>
    <x v="1"/>
    <x v="6"/>
    <x v="0"/>
    <x v="2"/>
    <x v="2"/>
    <x v="0"/>
    <x v="7"/>
    <x v="0"/>
  </r>
  <r>
    <n v="1782"/>
    <d v="2023-04-17T00:00:00"/>
    <x v="6"/>
    <x v="8"/>
    <n v="1215"/>
    <n v="1"/>
    <n v="1215"/>
    <n v="26"/>
    <x v="1"/>
    <x v="3"/>
    <x v="5"/>
    <x v="2"/>
    <x v="5"/>
    <x v="1"/>
    <x v="8"/>
    <x v="0"/>
  </r>
  <r>
    <n v="1783"/>
    <d v="2023-07-15T00:00:00"/>
    <x v="1"/>
    <x v="35"/>
    <n v="1388"/>
    <n v="1"/>
    <n v="1388"/>
    <n v="25"/>
    <x v="0"/>
    <x v="5"/>
    <x v="3"/>
    <x v="0"/>
    <x v="3"/>
    <x v="1"/>
    <x v="4"/>
    <x v="0"/>
  </r>
  <r>
    <n v="1784"/>
    <d v="2023-04-08T00:00:00"/>
    <x v="0"/>
    <x v="34"/>
    <n v="1283"/>
    <n v="4"/>
    <n v="5132"/>
    <n v="48"/>
    <x v="1"/>
    <x v="8"/>
    <x v="5"/>
    <x v="1"/>
    <x v="5"/>
    <x v="0"/>
    <x v="8"/>
    <x v="1"/>
  </r>
  <r>
    <n v="1785"/>
    <d v="2023-09-13T00:00:00"/>
    <x v="4"/>
    <x v="13"/>
    <n v="539"/>
    <n v="2"/>
    <n v="1078"/>
    <n v="54"/>
    <x v="0"/>
    <x v="5"/>
    <x v="2"/>
    <x v="2"/>
    <x v="1"/>
    <x v="0"/>
    <x v="1"/>
    <x v="2"/>
  </r>
  <r>
    <n v="1786"/>
    <d v="2023-01-09T00:00:00"/>
    <x v="5"/>
    <x v="32"/>
    <n v="673"/>
    <n v="1"/>
    <n v="673"/>
    <n v="18"/>
    <x v="1"/>
    <x v="8"/>
    <x v="1"/>
    <x v="0"/>
    <x v="0"/>
    <x v="0"/>
    <x v="2"/>
    <x v="0"/>
  </r>
  <r>
    <n v="1787"/>
    <d v="2023-08-31T00:00:00"/>
    <x v="5"/>
    <x v="17"/>
    <n v="972"/>
    <n v="3"/>
    <n v="2916"/>
    <n v="34"/>
    <x v="1"/>
    <x v="0"/>
    <x v="0"/>
    <x v="3"/>
    <x v="4"/>
    <x v="0"/>
    <x v="7"/>
    <x v="1"/>
  </r>
  <r>
    <n v="1788"/>
    <d v="2023-07-04T00:00:00"/>
    <x v="4"/>
    <x v="4"/>
    <n v="385"/>
    <n v="5"/>
    <n v="1925"/>
    <n v="52"/>
    <x v="1"/>
    <x v="9"/>
    <x v="0"/>
    <x v="1"/>
    <x v="1"/>
    <x v="0"/>
    <x v="4"/>
    <x v="2"/>
  </r>
  <r>
    <n v="1789"/>
    <d v="2023-01-09T00:00:00"/>
    <x v="6"/>
    <x v="16"/>
    <n v="384"/>
    <n v="4"/>
    <n v="1536"/>
    <n v="57"/>
    <x v="1"/>
    <x v="8"/>
    <x v="5"/>
    <x v="4"/>
    <x v="1"/>
    <x v="0"/>
    <x v="2"/>
    <x v="2"/>
  </r>
  <r>
    <n v="1790"/>
    <d v="2023-05-24T00:00:00"/>
    <x v="2"/>
    <x v="5"/>
    <n v="1213"/>
    <n v="5"/>
    <n v="6065"/>
    <n v="40"/>
    <x v="0"/>
    <x v="3"/>
    <x v="5"/>
    <x v="1"/>
    <x v="3"/>
    <x v="1"/>
    <x v="9"/>
    <x v="1"/>
  </r>
  <r>
    <n v="1791"/>
    <d v="2023-11-27T00:00:00"/>
    <x v="4"/>
    <x v="29"/>
    <n v="1121"/>
    <n v="1"/>
    <n v="1121"/>
    <n v="43"/>
    <x v="0"/>
    <x v="0"/>
    <x v="5"/>
    <x v="3"/>
    <x v="4"/>
    <x v="1"/>
    <x v="10"/>
    <x v="1"/>
  </r>
  <r>
    <n v="1792"/>
    <d v="2023-09-07T00:00:00"/>
    <x v="5"/>
    <x v="7"/>
    <n v="966"/>
    <n v="5"/>
    <n v="4830"/>
    <n v="23"/>
    <x v="0"/>
    <x v="1"/>
    <x v="0"/>
    <x v="4"/>
    <x v="5"/>
    <x v="0"/>
    <x v="1"/>
    <x v="0"/>
  </r>
  <r>
    <n v="1793"/>
    <d v="2023-09-22T00:00:00"/>
    <x v="0"/>
    <x v="10"/>
    <n v="886"/>
    <n v="3"/>
    <n v="2658"/>
    <n v="52"/>
    <x v="1"/>
    <x v="8"/>
    <x v="4"/>
    <x v="4"/>
    <x v="1"/>
    <x v="1"/>
    <x v="1"/>
    <x v="2"/>
  </r>
  <r>
    <n v="1794"/>
    <d v="2023-09-19T00:00:00"/>
    <x v="1"/>
    <x v="31"/>
    <n v="511"/>
    <n v="1"/>
    <n v="511"/>
    <n v="60"/>
    <x v="0"/>
    <x v="4"/>
    <x v="1"/>
    <x v="1"/>
    <x v="0"/>
    <x v="1"/>
    <x v="1"/>
    <x v="2"/>
  </r>
  <r>
    <n v="1795"/>
    <d v="2023-03-07T00:00:00"/>
    <x v="0"/>
    <x v="10"/>
    <n v="934"/>
    <n v="3"/>
    <n v="2802"/>
    <n v="59"/>
    <x v="1"/>
    <x v="2"/>
    <x v="3"/>
    <x v="2"/>
    <x v="3"/>
    <x v="0"/>
    <x v="3"/>
    <x v="2"/>
  </r>
  <r>
    <n v="1796"/>
    <d v="2023-01-23T00:00:00"/>
    <x v="1"/>
    <x v="35"/>
    <n v="479"/>
    <n v="5"/>
    <n v="2395"/>
    <n v="30"/>
    <x v="0"/>
    <x v="7"/>
    <x v="0"/>
    <x v="1"/>
    <x v="2"/>
    <x v="1"/>
    <x v="2"/>
    <x v="1"/>
  </r>
  <r>
    <n v="1797"/>
    <d v="2024-01-30T00:00:00"/>
    <x v="0"/>
    <x v="10"/>
    <n v="151"/>
    <n v="1"/>
    <n v="151"/>
    <n v="34"/>
    <x v="1"/>
    <x v="2"/>
    <x v="2"/>
    <x v="3"/>
    <x v="0"/>
    <x v="0"/>
    <x v="2"/>
    <x v="1"/>
  </r>
  <r>
    <n v="1798"/>
    <d v="2023-09-20T00:00:00"/>
    <x v="6"/>
    <x v="18"/>
    <n v="459"/>
    <n v="5"/>
    <n v="2295"/>
    <n v="39"/>
    <x v="0"/>
    <x v="3"/>
    <x v="2"/>
    <x v="4"/>
    <x v="3"/>
    <x v="1"/>
    <x v="1"/>
    <x v="1"/>
  </r>
  <r>
    <n v="1799"/>
    <d v="2023-06-25T00:00:00"/>
    <x v="2"/>
    <x v="5"/>
    <n v="1253"/>
    <n v="3"/>
    <n v="3759"/>
    <n v="18"/>
    <x v="1"/>
    <x v="7"/>
    <x v="1"/>
    <x v="1"/>
    <x v="5"/>
    <x v="0"/>
    <x v="5"/>
    <x v="0"/>
  </r>
  <r>
    <n v="1800"/>
    <d v="2023-09-10T00:00:00"/>
    <x v="1"/>
    <x v="27"/>
    <n v="389"/>
    <n v="5"/>
    <n v="1945"/>
    <n v="59"/>
    <x v="1"/>
    <x v="7"/>
    <x v="4"/>
    <x v="2"/>
    <x v="0"/>
    <x v="0"/>
    <x v="1"/>
    <x v="2"/>
  </r>
  <r>
    <n v="1801"/>
    <d v="2024-01-23T00:00:00"/>
    <x v="4"/>
    <x v="19"/>
    <n v="873"/>
    <n v="3"/>
    <n v="2619"/>
    <n v="46"/>
    <x v="0"/>
    <x v="8"/>
    <x v="1"/>
    <x v="3"/>
    <x v="5"/>
    <x v="1"/>
    <x v="2"/>
    <x v="1"/>
  </r>
  <r>
    <n v="1802"/>
    <d v="2023-11-04T00:00:00"/>
    <x v="4"/>
    <x v="19"/>
    <n v="1447"/>
    <n v="1"/>
    <n v="1447"/>
    <n v="43"/>
    <x v="0"/>
    <x v="7"/>
    <x v="1"/>
    <x v="4"/>
    <x v="0"/>
    <x v="0"/>
    <x v="10"/>
    <x v="1"/>
  </r>
  <r>
    <n v="1803"/>
    <d v="2023-02-05T00:00:00"/>
    <x v="1"/>
    <x v="35"/>
    <n v="1351"/>
    <n v="5"/>
    <n v="6755"/>
    <n v="34"/>
    <x v="1"/>
    <x v="5"/>
    <x v="3"/>
    <x v="2"/>
    <x v="2"/>
    <x v="0"/>
    <x v="6"/>
    <x v="1"/>
  </r>
  <r>
    <n v="1804"/>
    <d v="2023-05-03T00:00:00"/>
    <x v="0"/>
    <x v="34"/>
    <n v="1496"/>
    <n v="5"/>
    <n v="7480"/>
    <n v="32"/>
    <x v="1"/>
    <x v="8"/>
    <x v="4"/>
    <x v="1"/>
    <x v="5"/>
    <x v="1"/>
    <x v="9"/>
    <x v="1"/>
  </r>
  <r>
    <n v="1805"/>
    <d v="2023-02-07T00:00:00"/>
    <x v="0"/>
    <x v="22"/>
    <n v="124"/>
    <n v="1"/>
    <n v="124"/>
    <n v="30"/>
    <x v="0"/>
    <x v="0"/>
    <x v="3"/>
    <x v="1"/>
    <x v="0"/>
    <x v="1"/>
    <x v="6"/>
    <x v="1"/>
  </r>
  <r>
    <n v="1806"/>
    <d v="2023-02-12T00:00:00"/>
    <x v="6"/>
    <x v="24"/>
    <n v="23"/>
    <n v="3"/>
    <n v="69"/>
    <n v="52"/>
    <x v="1"/>
    <x v="6"/>
    <x v="0"/>
    <x v="2"/>
    <x v="0"/>
    <x v="1"/>
    <x v="6"/>
    <x v="2"/>
  </r>
  <r>
    <n v="1807"/>
    <d v="2023-12-19T00:00:00"/>
    <x v="3"/>
    <x v="26"/>
    <n v="1223"/>
    <n v="3"/>
    <n v="3669"/>
    <n v="31"/>
    <x v="0"/>
    <x v="4"/>
    <x v="2"/>
    <x v="2"/>
    <x v="0"/>
    <x v="0"/>
    <x v="11"/>
    <x v="1"/>
  </r>
  <r>
    <n v="1808"/>
    <d v="2023-12-14T00:00:00"/>
    <x v="0"/>
    <x v="14"/>
    <n v="1361"/>
    <n v="4"/>
    <n v="5444"/>
    <n v="29"/>
    <x v="1"/>
    <x v="1"/>
    <x v="5"/>
    <x v="2"/>
    <x v="0"/>
    <x v="0"/>
    <x v="11"/>
    <x v="0"/>
  </r>
  <r>
    <n v="1809"/>
    <d v="2023-09-01T00:00:00"/>
    <x v="3"/>
    <x v="26"/>
    <n v="617"/>
    <n v="1"/>
    <n v="617"/>
    <n v="55"/>
    <x v="1"/>
    <x v="8"/>
    <x v="5"/>
    <x v="0"/>
    <x v="1"/>
    <x v="1"/>
    <x v="1"/>
    <x v="2"/>
  </r>
  <r>
    <n v="1810"/>
    <d v="2023-05-14T00:00:00"/>
    <x v="6"/>
    <x v="16"/>
    <n v="390"/>
    <n v="4"/>
    <n v="1560"/>
    <n v="46"/>
    <x v="0"/>
    <x v="5"/>
    <x v="5"/>
    <x v="0"/>
    <x v="4"/>
    <x v="1"/>
    <x v="9"/>
    <x v="1"/>
  </r>
  <r>
    <n v="1811"/>
    <d v="2023-06-02T00:00:00"/>
    <x v="6"/>
    <x v="18"/>
    <n v="546"/>
    <n v="5"/>
    <n v="2730"/>
    <n v="40"/>
    <x v="1"/>
    <x v="0"/>
    <x v="2"/>
    <x v="0"/>
    <x v="4"/>
    <x v="1"/>
    <x v="5"/>
    <x v="1"/>
  </r>
  <r>
    <n v="1812"/>
    <d v="2023-05-20T00:00:00"/>
    <x v="2"/>
    <x v="30"/>
    <n v="23"/>
    <n v="5"/>
    <n v="115"/>
    <n v="41"/>
    <x v="1"/>
    <x v="7"/>
    <x v="5"/>
    <x v="4"/>
    <x v="0"/>
    <x v="1"/>
    <x v="9"/>
    <x v="1"/>
  </r>
  <r>
    <n v="1813"/>
    <d v="2023-10-06T00:00:00"/>
    <x v="2"/>
    <x v="2"/>
    <n v="680"/>
    <n v="1"/>
    <n v="680"/>
    <n v="39"/>
    <x v="1"/>
    <x v="9"/>
    <x v="4"/>
    <x v="1"/>
    <x v="5"/>
    <x v="0"/>
    <x v="0"/>
    <x v="1"/>
  </r>
  <r>
    <n v="1814"/>
    <d v="2023-10-31T00:00:00"/>
    <x v="5"/>
    <x v="17"/>
    <n v="50"/>
    <n v="4"/>
    <n v="200"/>
    <n v="50"/>
    <x v="0"/>
    <x v="4"/>
    <x v="5"/>
    <x v="2"/>
    <x v="0"/>
    <x v="1"/>
    <x v="0"/>
    <x v="2"/>
  </r>
  <r>
    <n v="1815"/>
    <d v="2023-04-02T00:00:00"/>
    <x v="1"/>
    <x v="1"/>
    <n v="290"/>
    <n v="2"/>
    <n v="580"/>
    <n v="25"/>
    <x v="1"/>
    <x v="2"/>
    <x v="5"/>
    <x v="1"/>
    <x v="2"/>
    <x v="1"/>
    <x v="8"/>
    <x v="0"/>
  </r>
  <r>
    <n v="1816"/>
    <d v="2023-02-20T00:00:00"/>
    <x v="5"/>
    <x v="11"/>
    <n v="723"/>
    <n v="3"/>
    <n v="2169"/>
    <n v="47"/>
    <x v="1"/>
    <x v="3"/>
    <x v="0"/>
    <x v="2"/>
    <x v="0"/>
    <x v="1"/>
    <x v="6"/>
    <x v="1"/>
  </r>
  <r>
    <n v="1817"/>
    <d v="2023-02-08T00:00:00"/>
    <x v="1"/>
    <x v="35"/>
    <n v="720"/>
    <n v="1"/>
    <n v="720"/>
    <n v="42"/>
    <x v="1"/>
    <x v="6"/>
    <x v="1"/>
    <x v="3"/>
    <x v="3"/>
    <x v="0"/>
    <x v="6"/>
    <x v="1"/>
  </r>
  <r>
    <n v="1818"/>
    <d v="2023-10-10T00:00:00"/>
    <x v="1"/>
    <x v="9"/>
    <n v="1100"/>
    <n v="2"/>
    <n v="2200"/>
    <n v="48"/>
    <x v="0"/>
    <x v="4"/>
    <x v="0"/>
    <x v="0"/>
    <x v="3"/>
    <x v="0"/>
    <x v="0"/>
    <x v="1"/>
  </r>
  <r>
    <n v="1819"/>
    <d v="2023-10-04T00:00:00"/>
    <x v="2"/>
    <x v="5"/>
    <n v="1054"/>
    <n v="3"/>
    <n v="3162"/>
    <n v="54"/>
    <x v="0"/>
    <x v="1"/>
    <x v="1"/>
    <x v="1"/>
    <x v="3"/>
    <x v="1"/>
    <x v="0"/>
    <x v="2"/>
  </r>
  <r>
    <n v="1820"/>
    <d v="2023-07-19T00:00:00"/>
    <x v="5"/>
    <x v="7"/>
    <n v="1023"/>
    <n v="4"/>
    <n v="4092"/>
    <n v="28"/>
    <x v="0"/>
    <x v="5"/>
    <x v="3"/>
    <x v="4"/>
    <x v="1"/>
    <x v="0"/>
    <x v="4"/>
    <x v="0"/>
  </r>
  <r>
    <n v="1821"/>
    <d v="2023-08-01T00:00:00"/>
    <x v="1"/>
    <x v="1"/>
    <n v="1188"/>
    <n v="3"/>
    <n v="3564"/>
    <n v="18"/>
    <x v="0"/>
    <x v="2"/>
    <x v="4"/>
    <x v="0"/>
    <x v="0"/>
    <x v="0"/>
    <x v="7"/>
    <x v="0"/>
  </r>
  <r>
    <n v="1822"/>
    <d v="2023-11-27T00:00:00"/>
    <x v="0"/>
    <x v="12"/>
    <n v="553"/>
    <n v="2"/>
    <n v="1106"/>
    <n v="20"/>
    <x v="1"/>
    <x v="4"/>
    <x v="5"/>
    <x v="4"/>
    <x v="0"/>
    <x v="1"/>
    <x v="10"/>
    <x v="0"/>
  </r>
  <r>
    <n v="1823"/>
    <d v="2023-07-07T00:00:00"/>
    <x v="1"/>
    <x v="31"/>
    <n v="1190"/>
    <n v="1"/>
    <n v="1190"/>
    <n v="46"/>
    <x v="1"/>
    <x v="5"/>
    <x v="5"/>
    <x v="2"/>
    <x v="5"/>
    <x v="1"/>
    <x v="4"/>
    <x v="1"/>
  </r>
  <r>
    <n v="1824"/>
    <d v="2023-11-10T00:00:00"/>
    <x v="4"/>
    <x v="29"/>
    <n v="1273"/>
    <n v="4"/>
    <n v="5092"/>
    <n v="52"/>
    <x v="1"/>
    <x v="1"/>
    <x v="4"/>
    <x v="2"/>
    <x v="2"/>
    <x v="0"/>
    <x v="10"/>
    <x v="2"/>
  </r>
  <r>
    <n v="1825"/>
    <d v="2024-01-06T00:00:00"/>
    <x v="2"/>
    <x v="30"/>
    <n v="867"/>
    <n v="5"/>
    <n v="4335"/>
    <n v="56"/>
    <x v="1"/>
    <x v="1"/>
    <x v="1"/>
    <x v="3"/>
    <x v="5"/>
    <x v="1"/>
    <x v="2"/>
    <x v="2"/>
  </r>
  <r>
    <n v="1826"/>
    <d v="2023-12-09T00:00:00"/>
    <x v="2"/>
    <x v="28"/>
    <n v="1244"/>
    <n v="5"/>
    <n v="6220"/>
    <n v="57"/>
    <x v="1"/>
    <x v="8"/>
    <x v="4"/>
    <x v="2"/>
    <x v="0"/>
    <x v="1"/>
    <x v="11"/>
    <x v="2"/>
  </r>
  <r>
    <n v="1827"/>
    <d v="2023-03-19T00:00:00"/>
    <x v="2"/>
    <x v="30"/>
    <n v="1257"/>
    <n v="1"/>
    <n v="1257"/>
    <n v="35"/>
    <x v="0"/>
    <x v="4"/>
    <x v="4"/>
    <x v="3"/>
    <x v="0"/>
    <x v="1"/>
    <x v="3"/>
    <x v="1"/>
  </r>
  <r>
    <n v="1828"/>
    <d v="2023-06-26T00:00:00"/>
    <x v="6"/>
    <x v="8"/>
    <n v="376"/>
    <n v="1"/>
    <n v="376"/>
    <n v="22"/>
    <x v="1"/>
    <x v="6"/>
    <x v="2"/>
    <x v="4"/>
    <x v="3"/>
    <x v="0"/>
    <x v="5"/>
    <x v="0"/>
  </r>
  <r>
    <n v="1829"/>
    <d v="2023-06-26T00:00:00"/>
    <x v="3"/>
    <x v="25"/>
    <n v="588"/>
    <n v="1"/>
    <n v="588"/>
    <n v="60"/>
    <x v="0"/>
    <x v="7"/>
    <x v="0"/>
    <x v="3"/>
    <x v="2"/>
    <x v="1"/>
    <x v="5"/>
    <x v="2"/>
  </r>
  <r>
    <n v="1830"/>
    <d v="2024-01-04T00:00:00"/>
    <x v="4"/>
    <x v="13"/>
    <n v="719"/>
    <n v="5"/>
    <n v="3595"/>
    <n v="49"/>
    <x v="0"/>
    <x v="9"/>
    <x v="5"/>
    <x v="0"/>
    <x v="4"/>
    <x v="1"/>
    <x v="2"/>
    <x v="1"/>
  </r>
  <r>
    <n v="1831"/>
    <d v="2024-01-20T00:00:00"/>
    <x v="1"/>
    <x v="35"/>
    <n v="555"/>
    <n v="4"/>
    <n v="2220"/>
    <n v="26"/>
    <x v="1"/>
    <x v="6"/>
    <x v="2"/>
    <x v="1"/>
    <x v="4"/>
    <x v="0"/>
    <x v="2"/>
    <x v="0"/>
  </r>
  <r>
    <n v="1832"/>
    <d v="2023-06-27T00:00:00"/>
    <x v="3"/>
    <x v="26"/>
    <n v="1447"/>
    <n v="5"/>
    <n v="7235"/>
    <n v="45"/>
    <x v="1"/>
    <x v="3"/>
    <x v="4"/>
    <x v="2"/>
    <x v="5"/>
    <x v="1"/>
    <x v="5"/>
    <x v="1"/>
  </r>
  <r>
    <n v="1833"/>
    <d v="2023-12-15T00:00:00"/>
    <x v="0"/>
    <x v="12"/>
    <n v="239"/>
    <n v="4"/>
    <n v="956"/>
    <n v="46"/>
    <x v="0"/>
    <x v="5"/>
    <x v="0"/>
    <x v="4"/>
    <x v="1"/>
    <x v="0"/>
    <x v="11"/>
    <x v="1"/>
  </r>
  <r>
    <n v="1834"/>
    <d v="2023-01-06T00:00:00"/>
    <x v="5"/>
    <x v="17"/>
    <n v="157"/>
    <n v="2"/>
    <n v="314"/>
    <n v="40"/>
    <x v="0"/>
    <x v="5"/>
    <x v="1"/>
    <x v="2"/>
    <x v="4"/>
    <x v="0"/>
    <x v="2"/>
    <x v="1"/>
  </r>
  <r>
    <n v="1835"/>
    <d v="2023-11-18T00:00:00"/>
    <x v="4"/>
    <x v="4"/>
    <n v="745"/>
    <n v="3"/>
    <n v="2235"/>
    <n v="32"/>
    <x v="0"/>
    <x v="0"/>
    <x v="4"/>
    <x v="3"/>
    <x v="5"/>
    <x v="1"/>
    <x v="10"/>
    <x v="1"/>
  </r>
  <r>
    <n v="1836"/>
    <d v="2023-02-22T00:00:00"/>
    <x v="4"/>
    <x v="6"/>
    <n v="795"/>
    <n v="4"/>
    <n v="3180"/>
    <n v="22"/>
    <x v="1"/>
    <x v="4"/>
    <x v="5"/>
    <x v="2"/>
    <x v="3"/>
    <x v="0"/>
    <x v="6"/>
    <x v="0"/>
  </r>
  <r>
    <n v="1837"/>
    <d v="2024-02-05T00:00:00"/>
    <x v="5"/>
    <x v="7"/>
    <n v="1265"/>
    <n v="1"/>
    <n v="1265"/>
    <n v="19"/>
    <x v="1"/>
    <x v="5"/>
    <x v="3"/>
    <x v="3"/>
    <x v="1"/>
    <x v="1"/>
    <x v="6"/>
    <x v="0"/>
  </r>
  <r>
    <n v="1838"/>
    <d v="2023-03-22T00:00:00"/>
    <x v="4"/>
    <x v="6"/>
    <n v="315"/>
    <n v="2"/>
    <n v="630"/>
    <n v="40"/>
    <x v="1"/>
    <x v="5"/>
    <x v="2"/>
    <x v="3"/>
    <x v="3"/>
    <x v="0"/>
    <x v="3"/>
    <x v="1"/>
  </r>
  <r>
    <n v="1839"/>
    <d v="2023-10-31T00:00:00"/>
    <x v="3"/>
    <x v="25"/>
    <n v="355"/>
    <n v="2"/>
    <n v="710"/>
    <n v="48"/>
    <x v="1"/>
    <x v="1"/>
    <x v="2"/>
    <x v="0"/>
    <x v="4"/>
    <x v="1"/>
    <x v="0"/>
    <x v="1"/>
  </r>
  <r>
    <n v="1840"/>
    <d v="2023-06-20T00:00:00"/>
    <x v="3"/>
    <x v="23"/>
    <n v="127"/>
    <n v="1"/>
    <n v="127"/>
    <n v="50"/>
    <x v="0"/>
    <x v="2"/>
    <x v="0"/>
    <x v="0"/>
    <x v="4"/>
    <x v="0"/>
    <x v="5"/>
    <x v="2"/>
  </r>
  <r>
    <n v="1841"/>
    <d v="2023-05-28T00:00:00"/>
    <x v="0"/>
    <x v="12"/>
    <n v="1038"/>
    <n v="4"/>
    <n v="4152"/>
    <n v="30"/>
    <x v="0"/>
    <x v="2"/>
    <x v="0"/>
    <x v="0"/>
    <x v="2"/>
    <x v="1"/>
    <x v="9"/>
    <x v="1"/>
  </r>
  <r>
    <n v="1842"/>
    <d v="2023-07-15T00:00:00"/>
    <x v="1"/>
    <x v="27"/>
    <n v="350"/>
    <n v="2"/>
    <n v="700"/>
    <n v="57"/>
    <x v="0"/>
    <x v="3"/>
    <x v="3"/>
    <x v="2"/>
    <x v="0"/>
    <x v="0"/>
    <x v="4"/>
    <x v="2"/>
  </r>
  <r>
    <n v="1843"/>
    <d v="2023-01-20T00:00:00"/>
    <x v="4"/>
    <x v="6"/>
    <n v="962"/>
    <n v="1"/>
    <n v="962"/>
    <n v="58"/>
    <x v="1"/>
    <x v="0"/>
    <x v="3"/>
    <x v="1"/>
    <x v="0"/>
    <x v="1"/>
    <x v="2"/>
    <x v="2"/>
  </r>
  <r>
    <n v="1844"/>
    <d v="2024-01-26T00:00:00"/>
    <x v="1"/>
    <x v="35"/>
    <n v="905"/>
    <n v="3"/>
    <n v="2715"/>
    <n v="45"/>
    <x v="1"/>
    <x v="3"/>
    <x v="4"/>
    <x v="3"/>
    <x v="2"/>
    <x v="1"/>
    <x v="2"/>
    <x v="1"/>
  </r>
  <r>
    <n v="1845"/>
    <d v="2023-03-13T00:00:00"/>
    <x v="3"/>
    <x v="23"/>
    <n v="1245"/>
    <n v="1"/>
    <n v="1245"/>
    <n v="46"/>
    <x v="1"/>
    <x v="5"/>
    <x v="4"/>
    <x v="3"/>
    <x v="2"/>
    <x v="1"/>
    <x v="3"/>
    <x v="1"/>
  </r>
  <r>
    <n v="1846"/>
    <d v="2023-09-20T00:00:00"/>
    <x v="3"/>
    <x v="3"/>
    <n v="263"/>
    <n v="3"/>
    <n v="789"/>
    <n v="38"/>
    <x v="0"/>
    <x v="0"/>
    <x v="3"/>
    <x v="1"/>
    <x v="2"/>
    <x v="1"/>
    <x v="1"/>
    <x v="1"/>
  </r>
  <r>
    <n v="1847"/>
    <d v="2023-07-27T00:00:00"/>
    <x v="2"/>
    <x v="28"/>
    <n v="878"/>
    <n v="5"/>
    <n v="4390"/>
    <n v="46"/>
    <x v="1"/>
    <x v="3"/>
    <x v="3"/>
    <x v="3"/>
    <x v="4"/>
    <x v="0"/>
    <x v="4"/>
    <x v="1"/>
  </r>
  <r>
    <n v="1848"/>
    <d v="2023-03-21T00:00:00"/>
    <x v="2"/>
    <x v="20"/>
    <n v="301"/>
    <n v="1"/>
    <n v="301"/>
    <n v="41"/>
    <x v="1"/>
    <x v="0"/>
    <x v="3"/>
    <x v="0"/>
    <x v="1"/>
    <x v="0"/>
    <x v="3"/>
    <x v="1"/>
  </r>
  <r>
    <n v="1849"/>
    <d v="2023-04-17T00:00:00"/>
    <x v="3"/>
    <x v="25"/>
    <n v="1478"/>
    <n v="4"/>
    <n v="5912"/>
    <n v="52"/>
    <x v="1"/>
    <x v="0"/>
    <x v="5"/>
    <x v="1"/>
    <x v="0"/>
    <x v="0"/>
    <x v="8"/>
    <x v="2"/>
  </r>
  <r>
    <n v="1850"/>
    <d v="2023-05-28T00:00:00"/>
    <x v="0"/>
    <x v="34"/>
    <n v="155"/>
    <n v="4"/>
    <n v="620"/>
    <n v="35"/>
    <x v="1"/>
    <x v="3"/>
    <x v="1"/>
    <x v="1"/>
    <x v="1"/>
    <x v="1"/>
    <x v="9"/>
    <x v="1"/>
  </r>
  <r>
    <n v="1851"/>
    <d v="2023-03-13T00:00:00"/>
    <x v="3"/>
    <x v="25"/>
    <n v="645"/>
    <n v="4"/>
    <n v="2580"/>
    <n v="37"/>
    <x v="1"/>
    <x v="3"/>
    <x v="1"/>
    <x v="4"/>
    <x v="1"/>
    <x v="0"/>
    <x v="3"/>
    <x v="1"/>
  </r>
  <r>
    <n v="1852"/>
    <d v="2023-02-24T00:00:00"/>
    <x v="3"/>
    <x v="21"/>
    <n v="310"/>
    <n v="5"/>
    <n v="1550"/>
    <n v="46"/>
    <x v="0"/>
    <x v="5"/>
    <x v="1"/>
    <x v="4"/>
    <x v="1"/>
    <x v="1"/>
    <x v="6"/>
    <x v="1"/>
  </r>
  <r>
    <n v="1853"/>
    <d v="2023-10-03T00:00:00"/>
    <x v="2"/>
    <x v="28"/>
    <n v="175"/>
    <n v="3"/>
    <n v="525"/>
    <n v="52"/>
    <x v="1"/>
    <x v="4"/>
    <x v="4"/>
    <x v="2"/>
    <x v="0"/>
    <x v="1"/>
    <x v="0"/>
    <x v="2"/>
  </r>
  <r>
    <n v="1854"/>
    <d v="2023-06-27T00:00:00"/>
    <x v="4"/>
    <x v="19"/>
    <n v="46"/>
    <n v="3"/>
    <n v="138"/>
    <n v="60"/>
    <x v="1"/>
    <x v="5"/>
    <x v="5"/>
    <x v="1"/>
    <x v="3"/>
    <x v="1"/>
    <x v="5"/>
    <x v="2"/>
  </r>
  <r>
    <n v="1855"/>
    <d v="2023-02-24T00:00:00"/>
    <x v="0"/>
    <x v="34"/>
    <n v="367"/>
    <n v="3"/>
    <n v="1101"/>
    <n v="21"/>
    <x v="1"/>
    <x v="5"/>
    <x v="3"/>
    <x v="3"/>
    <x v="2"/>
    <x v="0"/>
    <x v="6"/>
    <x v="0"/>
  </r>
  <r>
    <n v="1856"/>
    <d v="2023-11-04T00:00:00"/>
    <x v="2"/>
    <x v="28"/>
    <n v="936"/>
    <n v="2"/>
    <n v="1872"/>
    <n v="21"/>
    <x v="0"/>
    <x v="9"/>
    <x v="4"/>
    <x v="1"/>
    <x v="1"/>
    <x v="0"/>
    <x v="10"/>
    <x v="0"/>
  </r>
  <r>
    <n v="1857"/>
    <d v="2023-11-15T00:00:00"/>
    <x v="2"/>
    <x v="5"/>
    <n v="1250"/>
    <n v="4"/>
    <n v="5000"/>
    <n v="39"/>
    <x v="0"/>
    <x v="7"/>
    <x v="4"/>
    <x v="2"/>
    <x v="4"/>
    <x v="0"/>
    <x v="10"/>
    <x v="1"/>
  </r>
  <r>
    <n v="1858"/>
    <d v="2023-03-27T00:00:00"/>
    <x v="3"/>
    <x v="25"/>
    <n v="1378"/>
    <n v="3"/>
    <n v="4134"/>
    <n v="36"/>
    <x v="0"/>
    <x v="5"/>
    <x v="5"/>
    <x v="0"/>
    <x v="2"/>
    <x v="1"/>
    <x v="3"/>
    <x v="1"/>
  </r>
  <r>
    <n v="1859"/>
    <d v="2023-05-24T00:00:00"/>
    <x v="6"/>
    <x v="33"/>
    <n v="712"/>
    <n v="4"/>
    <n v="2848"/>
    <n v="21"/>
    <x v="1"/>
    <x v="9"/>
    <x v="4"/>
    <x v="0"/>
    <x v="0"/>
    <x v="1"/>
    <x v="9"/>
    <x v="0"/>
  </r>
  <r>
    <n v="1860"/>
    <d v="2023-06-20T00:00:00"/>
    <x v="5"/>
    <x v="17"/>
    <n v="425"/>
    <n v="3"/>
    <n v="1275"/>
    <n v="52"/>
    <x v="0"/>
    <x v="5"/>
    <x v="1"/>
    <x v="2"/>
    <x v="0"/>
    <x v="1"/>
    <x v="5"/>
    <x v="2"/>
  </r>
  <r>
    <n v="1861"/>
    <d v="2023-12-14T00:00:00"/>
    <x v="3"/>
    <x v="26"/>
    <n v="880"/>
    <n v="5"/>
    <n v="4400"/>
    <n v="53"/>
    <x v="0"/>
    <x v="2"/>
    <x v="3"/>
    <x v="2"/>
    <x v="5"/>
    <x v="1"/>
    <x v="11"/>
    <x v="2"/>
  </r>
  <r>
    <n v="1862"/>
    <d v="2023-05-14T00:00:00"/>
    <x v="6"/>
    <x v="24"/>
    <n v="212"/>
    <n v="4"/>
    <n v="848"/>
    <n v="35"/>
    <x v="1"/>
    <x v="5"/>
    <x v="4"/>
    <x v="4"/>
    <x v="4"/>
    <x v="1"/>
    <x v="9"/>
    <x v="1"/>
  </r>
  <r>
    <n v="1863"/>
    <d v="2023-01-17T00:00:00"/>
    <x v="0"/>
    <x v="34"/>
    <n v="1160"/>
    <n v="4"/>
    <n v="4640"/>
    <n v="53"/>
    <x v="0"/>
    <x v="0"/>
    <x v="4"/>
    <x v="2"/>
    <x v="2"/>
    <x v="1"/>
    <x v="2"/>
    <x v="2"/>
  </r>
  <r>
    <n v="1864"/>
    <d v="2023-07-18T00:00:00"/>
    <x v="3"/>
    <x v="3"/>
    <n v="1048"/>
    <n v="5"/>
    <n v="5240"/>
    <n v="20"/>
    <x v="0"/>
    <x v="9"/>
    <x v="1"/>
    <x v="2"/>
    <x v="1"/>
    <x v="1"/>
    <x v="4"/>
    <x v="0"/>
  </r>
  <r>
    <n v="1865"/>
    <d v="2023-11-25T00:00:00"/>
    <x v="6"/>
    <x v="18"/>
    <n v="30"/>
    <n v="3"/>
    <n v="90"/>
    <n v="18"/>
    <x v="1"/>
    <x v="2"/>
    <x v="2"/>
    <x v="2"/>
    <x v="0"/>
    <x v="0"/>
    <x v="10"/>
    <x v="0"/>
  </r>
  <r>
    <n v="1866"/>
    <d v="2023-07-11T00:00:00"/>
    <x v="2"/>
    <x v="28"/>
    <n v="1202"/>
    <n v="1"/>
    <n v="1202"/>
    <n v="26"/>
    <x v="1"/>
    <x v="5"/>
    <x v="3"/>
    <x v="3"/>
    <x v="1"/>
    <x v="0"/>
    <x v="4"/>
    <x v="0"/>
  </r>
  <r>
    <n v="1867"/>
    <d v="2023-05-12T00:00:00"/>
    <x v="0"/>
    <x v="34"/>
    <n v="120"/>
    <n v="2"/>
    <n v="240"/>
    <n v="37"/>
    <x v="1"/>
    <x v="9"/>
    <x v="2"/>
    <x v="4"/>
    <x v="2"/>
    <x v="1"/>
    <x v="9"/>
    <x v="1"/>
  </r>
  <r>
    <n v="1868"/>
    <d v="2023-09-13T00:00:00"/>
    <x v="3"/>
    <x v="26"/>
    <n v="1285"/>
    <n v="2"/>
    <n v="2570"/>
    <n v="43"/>
    <x v="0"/>
    <x v="8"/>
    <x v="3"/>
    <x v="4"/>
    <x v="5"/>
    <x v="0"/>
    <x v="1"/>
    <x v="1"/>
  </r>
  <r>
    <n v="1869"/>
    <d v="2023-07-24T00:00:00"/>
    <x v="5"/>
    <x v="32"/>
    <n v="1126"/>
    <n v="4"/>
    <n v="4504"/>
    <n v="19"/>
    <x v="0"/>
    <x v="0"/>
    <x v="4"/>
    <x v="1"/>
    <x v="5"/>
    <x v="1"/>
    <x v="4"/>
    <x v="0"/>
  </r>
  <r>
    <n v="1870"/>
    <d v="2023-05-16T00:00:00"/>
    <x v="4"/>
    <x v="29"/>
    <n v="185"/>
    <n v="5"/>
    <n v="925"/>
    <n v="35"/>
    <x v="1"/>
    <x v="5"/>
    <x v="3"/>
    <x v="2"/>
    <x v="4"/>
    <x v="1"/>
    <x v="9"/>
    <x v="1"/>
  </r>
  <r>
    <n v="1871"/>
    <d v="2024-01-12T00:00:00"/>
    <x v="4"/>
    <x v="29"/>
    <n v="185"/>
    <n v="2"/>
    <n v="370"/>
    <n v="48"/>
    <x v="0"/>
    <x v="7"/>
    <x v="2"/>
    <x v="0"/>
    <x v="0"/>
    <x v="0"/>
    <x v="2"/>
    <x v="1"/>
  </r>
  <r>
    <n v="1872"/>
    <d v="2024-01-15T00:00:00"/>
    <x v="0"/>
    <x v="14"/>
    <n v="841"/>
    <n v="4"/>
    <n v="3364"/>
    <n v="27"/>
    <x v="1"/>
    <x v="4"/>
    <x v="1"/>
    <x v="1"/>
    <x v="1"/>
    <x v="1"/>
    <x v="2"/>
    <x v="0"/>
  </r>
  <r>
    <n v="1873"/>
    <d v="2023-06-26T00:00:00"/>
    <x v="6"/>
    <x v="8"/>
    <n v="567"/>
    <n v="3"/>
    <n v="1701"/>
    <n v="36"/>
    <x v="0"/>
    <x v="9"/>
    <x v="1"/>
    <x v="2"/>
    <x v="0"/>
    <x v="0"/>
    <x v="5"/>
    <x v="1"/>
  </r>
  <r>
    <n v="1874"/>
    <d v="2023-08-18T00:00:00"/>
    <x v="3"/>
    <x v="26"/>
    <n v="144"/>
    <n v="3"/>
    <n v="432"/>
    <n v="19"/>
    <x v="0"/>
    <x v="8"/>
    <x v="3"/>
    <x v="0"/>
    <x v="5"/>
    <x v="0"/>
    <x v="7"/>
    <x v="0"/>
  </r>
  <r>
    <n v="1875"/>
    <d v="2023-03-12T00:00:00"/>
    <x v="2"/>
    <x v="5"/>
    <n v="92"/>
    <n v="1"/>
    <n v="92"/>
    <n v="25"/>
    <x v="1"/>
    <x v="6"/>
    <x v="3"/>
    <x v="2"/>
    <x v="2"/>
    <x v="1"/>
    <x v="3"/>
    <x v="0"/>
  </r>
  <r>
    <n v="1876"/>
    <d v="2023-01-30T00:00:00"/>
    <x v="5"/>
    <x v="11"/>
    <n v="127"/>
    <n v="2"/>
    <n v="254"/>
    <n v="48"/>
    <x v="1"/>
    <x v="2"/>
    <x v="1"/>
    <x v="4"/>
    <x v="5"/>
    <x v="1"/>
    <x v="2"/>
    <x v="1"/>
  </r>
  <r>
    <n v="1877"/>
    <d v="2023-07-31T00:00:00"/>
    <x v="2"/>
    <x v="30"/>
    <n v="1263"/>
    <n v="5"/>
    <n v="6315"/>
    <n v="52"/>
    <x v="0"/>
    <x v="1"/>
    <x v="5"/>
    <x v="4"/>
    <x v="4"/>
    <x v="1"/>
    <x v="4"/>
    <x v="2"/>
  </r>
  <r>
    <n v="1878"/>
    <d v="2023-11-06T00:00:00"/>
    <x v="0"/>
    <x v="12"/>
    <n v="272"/>
    <n v="2"/>
    <n v="544"/>
    <n v="23"/>
    <x v="0"/>
    <x v="1"/>
    <x v="4"/>
    <x v="2"/>
    <x v="0"/>
    <x v="0"/>
    <x v="10"/>
    <x v="0"/>
  </r>
  <r>
    <n v="1879"/>
    <d v="2023-05-02T00:00:00"/>
    <x v="4"/>
    <x v="29"/>
    <n v="548"/>
    <n v="5"/>
    <n v="2740"/>
    <n v="46"/>
    <x v="0"/>
    <x v="5"/>
    <x v="4"/>
    <x v="3"/>
    <x v="4"/>
    <x v="0"/>
    <x v="9"/>
    <x v="1"/>
  </r>
  <r>
    <n v="1880"/>
    <d v="2023-10-03T00:00:00"/>
    <x v="1"/>
    <x v="35"/>
    <n v="493"/>
    <n v="3"/>
    <n v="1479"/>
    <n v="28"/>
    <x v="0"/>
    <x v="2"/>
    <x v="5"/>
    <x v="3"/>
    <x v="1"/>
    <x v="0"/>
    <x v="0"/>
    <x v="0"/>
  </r>
  <r>
    <n v="1881"/>
    <d v="2023-08-16T00:00:00"/>
    <x v="2"/>
    <x v="5"/>
    <n v="1202"/>
    <n v="1"/>
    <n v="1202"/>
    <n v="48"/>
    <x v="0"/>
    <x v="1"/>
    <x v="2"/>
    <x v="4"/>
    <x v="4"/>
    <x v="0"/>
    <x v="7"/>
    <x v="1"/>
  </r>
  <r>
    <n v="1882"/>
    <d v="2023-09-13T00:00:00"/>
    <x v="4"/>
    <x v="29"/>
    <n v="367"/>
    <n v="4"/>
    <n v="1468"/>
    <n v="46"/>
    <x v="0"/>
    <x v="3"/>
    <x v="4"/>
    <x v="4"/>
    <x v="1"/>
    <x v="1"/>
    <x v="1"/>
    <x v="1"/>
  </r>
  <r>
    <n v="1883"/>
    <d v="2023-09-10T00:00:00"/>
    <x v="4"/>
    <x v="29"/>
    <n v="422"/>
    <n v="2"/>
    <n v="844"/>
    <n v="55"/>
    <x v="1"/>
    <x v="0"/>
    <x v="3"/>
    <x v="0"/>
    <x v="4"/>
    <x v="1"/>
    <x v="1"/>
    <x v="2"/>
  </r>
  <r>
    <n v="1884"/>
    <d v="2023-10-27T00:00:00"/>
    <x v="3"/>
    <x v="25"/>
    <n v="1050"/>
    <n v="3"/>
    <n v="3150"/>
    <n v="53"/>
    <x v="1"/>
    <x v="6"/>
    <x v="5"/>
    <x v="3"/>
    <x v="1"/>
    <x v="0"/>
    <x v="0"/>
    <x v="2"/>
  </r>
  <r>
    <n v="1885"/>
    <d v="2023-08-05T00:00:00"/>
    <x v="3"/>
    <x v="23"/>
    <n v="1344"/>
    <n v="3"/>
    <n v="4032"/>
    <n v="56"/>
    <x v="1"/>
    <x v="4"/>
    <x v="4"/>
    <x v="3"/>
    <x v="1"/>
    <x v="1"/>
    <x v="7"/>
    <x v="2"/>
  </r>
  <r>
    <n v="1886"/>
    <d v="2023-04-17T00:00:00"/>
    <x v="2"/>
    <x v="30"/>
    <n v="1496"/>
    <n v="5"/>
    <n v="7480"/>
    <n v="46"/>
    <x v="1"/>
    <x v="6"/>
    <x v="4"/>
    <x v="4"/>
    <x v="4"/>
    <x v="0"/>
    <x v="8"/>
    <x v="1"/>
  </r>
  <r>
    <n v="1887"/>
    <d v="2023-05-21T00:00:00"/>
    <x v="0"/>
    <x v="34"/>
    <n v="1409"/>
    <n v="4"/>
    <n v="5636"/>
    <n v="34"/>
    <x v="1"/>
    <x v="4"/>
    <x v="3"/>
    <x v="0"/>
    <x v="4"/>
    <x v="1"/>
    <x v="9"/>
    <x v="1"/>
  </r>
  <r>
    <n v="1888"/>
    <d v="2023-03-18T00:00:00"/>
    <x v="5"/>
    <x v="15"/>
    <n v="304"/>
    <n v="1"/>
    <n v="304"/>
    <n v="35"/>
    <x v="1"/>
    <x v="3"/>
    <x v="4"/>
    <x v="2"/>
    <x v="4"/>
    <x v="1"/>
    <x v="3"/>
    <x v="1"/>
  </r>
  <r>
    <n v="1889"/>
    <d v="2023-12-04T00:00:00"/>
    <x v="0"/>
    <x v="10"/>
    <n v="896"/>
    <n v="2"/>
    <n v="1792"/>
    <n v="50"/>
    <x v="0"/>
    <x v="2"/>
    <x v="5"/>
    <x v="4"/>
    <x v="3"/>
    <x v="1"/>
    <x v="11"/>
    <x v="2"/>
  </r>
  <r>
    <n v="1890"/>
    <d v="2023-07-05T00:00:00"/>
    <x v="4"/>
    <x v="29"/>
    <n v="886"/>
    <n v="3"/>
    <n v="2658"/>
    <n v="24"/>
    <x v="0"/>
    <x v="1"/>
    <x v="0"/>
    <x v="4"/>
    <x v="1"/>
    <x v="1"/>
    <x v="4"/>
    <x v="0"/>
  </r>
  <r>
    <n v="1891"/>
    <d v="2023-07-24T00:00:00"/>
    <x v="0"/>
    <x v="10"/>
    <n v="245"/>
    <n v="2"/>
    <n v="490"/>
    <n v="28"/>
    <x v="1"/>
    <x v="7"/>
    <x v="1"/>
    <x v="3"/>
    <x v="4"/>
    <x v="0"/>
    <x v="4"/>
    <x v="0"/>
  </r>
  <r>
    <n v="1892"/>
    <d v="2023-10-26T00:00:00"/>
    <x v="1"/>
    <x v="35"/>
    <n v="722"/>
    <n v="2"/>
    <n v="1444"/>
    <n v="38"/>
    <x v="0"/>
    <x v="4"/>
    <x v="2"/>
    <x v="3"/>
    <x v="4"/>
    <x v="1"/>
    <x v="0"/>
    <x v="1"/>
  </r>
  <r>
    <n v="1893"/>
    <d v="2023-12-21T00:00:00"/>
    <x v="0"/>
    <x v="14"/>
    <n v="752"/>
    <n v="1"/>
    <n v="752"/>
    <n v="47"/>
    <x v="1"/>
    <x v="1"/>
    <x v="0"/>
    <x v="4"/>
    <x v="0"/>
    <x v="1"/>
    <x v="11"/>
    <x v="1"/>
  </r>
  <r>
    <n v="1894"/>
    <d v="2024-02-05T00:00:00"/>
    <x v="1"/>
    <x v="35"/>
    <n v="1350"/>
    <n v="5"/>
    <n v="6750"/>
    <n v="54"/>
    <x v="0"/>
    <x v="0"/>
    <x v="1"/>
    <x v="3"/>
    <x v="4"/>
    <x v="1"/>
    <x v="6"/>
    <x v="2"/>
  </r>
  <r>
    <n v="1895"/>
    <d v="2023-09-12T00:00:00"/>
    <x v="4"/>
    <x v="6"/>
    <n v="420"/>
    <n v="2"/>
    <n v="840"/>
    <n v="34"/>
    <x v="0"/>
    <x v="1"/>
    <x v="3"/>
    <x v="3"/>
    <x v="4"/>
    <x v="0"/>
    <x v="1"/>
    <x v="1"/>
  </r>
  <r>
    <n v="1896"/>
    <d v="2023-10-02T00:00:00"/>
    <x v="1"/>
    <x v="27"/>
    <n v="762"/>
    <n v="1"/>
    <n v="762"/>
    <n v="57"/>
    <x v="1"/>
    <x v="6"/>
    <x v="0"/>
    <x v="1"/>
    <x v="2"/>
    <x v="1"/>
    <x v="0"/>
    <x v="2"/>
  </r>
  <r>
    <n v="1897"/>
    <d v="2023-05-08T00:00:00"/>
    <x v="4"/>
    <x v="29"/>
    <n v="716"/>
    <n v="3"/>
    <n v="2148"/>
    <n v="50"/>
    <x v="1"/>
    <x v="1"/>
    <x v="2"/>
    <x v="0"/>
    <x v="1"/>
    <x v="1"/>
    <x v="9"/>
    <x v="2"/>
  </r>
  <r>
    <n v="1898"/>
    <d v="2023-10-31T00:00:00"/>
    <x v="2"/>
    <x v="2"/>
    <n v="1143"/>
    <n v="3"/>
    <n v="3429"/>
    <n v="49"/>
    <x v="0"/>
    <x v="0"/>
    <x v="5"/>
    <x v="2"/>
    <x v="2"/>
    <x v="1"/>
    <x v="0"/>
    <x v="1"/>
  </r>
  <r>
    <n v="1899"/>
    <d v="2023-02-15T00:00:00"/>
    <x v="6"/>
    <x v="8"/>
    <n v="1115"/>
    <n v="4"/>
    <n v="4460"/>
    <n v="34"/>
    <x v="0"/>
    <x v="0"/>
    <x v="0"/>
    <x v="4"/>
    <x v="0"/>
    <x v="1"/>
    <x v="6"/>
    <x v="1"/>
  </r>
  <r>
    <n v="1900"/>
    <d v="2023-11-23T00:00:00"/>
    <x v="4"/>
    <x v="4"/>
    <n v="820"/>
    <n v="4"/>
    <n v="3280"/>
    <n v="20"/>
    <x v="1"/>
    <x v="8"/>
    <x v="2"/>
    <x v="1"/>
    <x v="0"/>
    <x v="0"/>
    <x v="10"/>
    <x v="0"/>
  </r>
  <r>
    <n v="1901"/>
    <d v="2023-06-18T00:00:00"/>
    <x v="6"/>
    <x v="24"/>
    <n v="152"/>
    <n v="1"/>
    <n v="152"/>
    <n v="54"/>
    <x v="0"/>
    <x v="7"/>
    <x v="0"/>
    <x v="2"/>
    <x v="1"/>
    <x v="1"/>
    <x v="5"/>
    <x v="2"/>
  </r>
  <r>
    <n v="1902"/>
    <d v="2023-05-18T00:00:00"/>
    <x v="6"/>
    <x v="8"/>
    <n v="139"/>
    <n v="3"/>
    <n v="417"/>
    <n v="38"/>
    <x v="0"/>
    <x v="5"/>
    <x v="0"/>
    <x v="0"/>
    <x v="2"/>
    <x v="1"/>
    <x v="9"/>
    <x v="1"/>
  </r>
  <r>
    <n v="1903"/>
    <d v="2023-09-15T00:00:00"/>
    <x v="6"/>
    <x v="18"/>
    <n v="32"/>
    <n v="1"/>
    <n v="32"/>
    <n v="51"/>
    <x v="0"/>
    <x v="9"/>
    <x v="1"/>
    <x v="1"/>
    <x v="1"/>
    <x v="1"/>
    <x v="1"/>
    <x v="2"/>
  </r>
  <r>
    <n v="1904"/>
    <d v="2023-05-23T00:00:00"/>
    <x v="3"/>
    <x v="21"/>
    <n v="820"/>
    <n v="1"/>
    <n v="820"/>
    <n v="31"/>
    <x v="0"/>
    <x v="8"/>
    <x v="2"/>
    <x v="3"/>
    <x v="3"/>
    <x v="1"/>
    <x v="9"/>
    <x v="1"/>
  </r>
  <r>
    <n v="1905"/>
    <d v="2023-01-06T00:00:00"/>
    <x v="2"/>
    <x v="20"/>
    <n v="639"/>
    <n v="1"/>
    <n v="639"/>
    <n v="31"/>
    <x v="0"/>
    <x v="6"/>
    <x v="2"/>
    <x v="2"/>
    <x v="5"/>
    <x v="0"/>
    <x v="2"/>
    <x v="1"/>
  </r>
  <r>
    <n v="1906"/>
    <d v="2023-06-18T00:00:00"/>
    <x v="0"/>
    <x v="10"/>
    <n v="240"/>
    <n v="2"/>
    <n v="480"/>
    <n v="26"/>
    <x v="0"/>
    <x v="2"/>
    <x v="4"/>
    <x v="3"/>
    <x v="2"/>
    <x v="0"/>
    <x v="5"/>
    <x v="0"/>
  </r>
  <r>
    <n v="1907"/>
    <d v="2024-01-22T00:00:00"/>
    <x v="6"/>
    <x v="24"/>
    <n v="1026"/>
    <n v="1"/>
    <n v="1026"/>
    <n v="18"/>
    <x v="1"/>
    <x v="9"/>
    <x v="5"/>
    <x v="3"/>
    <x v="2"/>
    <x v="0"/>
    <x v="2"/>
    <x v="0"/>
  </r>
  <r>
    <n v="1908"/>
    <d v="2023-02-12T00:00:00"/>
    <x v="5"/>
    <x v="32"/>
    <n v="1255"/>
    <n v="3"/>
    <n v="3765"/>
    <n v="50"/>
    <x v="1"/>
    <x v="8"/>
    <x v="3"/>
    <x v="1"/>
    <x v="1"/>
    <x v="1"/>
    <x v="6"/>
    <x v="2"/>
  </r>
  <r>
    <n v="1909"/>
    <d v="2023-08-02T00:00:00"/>
    <x v="5"/>
    <x v="17"/>
    <n v="75"/>
    <n v="2"/>
    <n v="150"/>
    <n v="39"/>
    <x v="1"/>
    <x v="5"/>
    <x v="5"/>
    <x v="2"/>
    <x v="5"/>
    <x v="0"/>
    <x v="7"/>
    <x v="1"/>
  </r>
  <r>
    <n v="1910"/>
    <d v="2023-08-20T00:00:00"/>
    <x v="2"/>
    <x v="28"/>
    <n v="1114"/>
    <n v="1"/>
    <n v="1114"/>
    <n v="26"/>
    <x v="0"/>
    <x v="6"/>
    <x v="3"/>
    <x v="1"/>
    <x v="5"/>
    <x v="0"/>
    <x v="7"/>
    <x v="0"/>
  </r>
  <r>
    <n v="1911"/>
    <d v="2023-10-22T00:00:00"/>
    <x v="1"/>
    <x v="35"/>
    <n v="1381"/>
    <n v="3"/>
    <n v="4143"/>
    <n v="31"/>
    <x v="0"/>
    <x v="0"/>
    <x v="4"/>
    <x v="3"/>
    <x v="0"/>
    <x v="0"/>
    <x v="0"/>
    <x v="1"/>
  </r>
  <r>
    <n v="1912"/>
    <d v="2023-05-23T00:00:00"/>
    <x v="1"/>
    <x v="35"/>
    <n v="1408"/>
    <n v="1"/>
    <n v="1408"/>
    <n v="38"/>
    <x v="0"/>
    <x v="1"/>
    <x v="4"/>
    <x v="2"/>
    <x v="3"/>
    <x v="0"/>
    <x v="9"/>
    <x v="1"/>
  </r>
  <r>
    <n v="1913"/>
    <d v="2023-07-18T00:00:00"/>
    <x v="4"/>
    <x v="29"/>
    <n v="302"/>
    <n v="5"/>
    <n v="1510"/>
    <n v="43"/>
    <x v="1"/>
    <x v="9"/>
    <x v="0"/>
    <x v="4"/>
    <x v="4"/>
    <x v="1"/>
    <x v="4"/>
    <x v="1"/>
  </r>
  <r>
    <n v="1914"/>
    <d v="2023-08-23T00:00:00"/>
    <x v="3"/>
    <x v="25"/>
    <n v="928"/>
    <n v="4"/>
    <n v="3712"/>
    <n v="39"/>
    <x v="1"/>
    <x v="9"/>
    <x v="3"/>
    <x v="2"/>
    <x v="1"/>
    <x v="0"/>
    <x v="7"/>
    <x v="1"/>
  </r>
  <r>
    <n v="1915"/>
    <d v="2023-11-02T00:00:00"/>
    <x v="2"/>
    <x v="30"/>
    <n v="763"/>
    <n v="2"/>
    <n v="1526"/>
    <n v="43"/>
    <x v="1"/>
    <x v="9"/>
    <x v="1"/>
    <x v="1"/>
    <x v="2"/>
    <x v="1"/>
    <x v="10"/>
    <x v="1"/>
  </r>
  <r>
    <n v="1916"/>
    <d v="2023-03-22T00:00:00"/>
    <x v="6"/>
    <x v="33"/>
    <n v="788"/>
    <n v="4"/>
    <n v="3152"/>
    <n v="26"/>
    <x v="0"/>
    <x v="6"/>
    <x v="3"/>
    <x v="0"/>
    <x v="4"/>
    <x v="1"/>
    <x v="3"/>
    <x v="0"/>
  </r>
  <r>
    <n v="1917"/>
    <d v="2023-05-26T00:00:00"/>
    <x v="5"/>
    <x v="11"/>
    <n v="430"/>
    <n v="1"/>
    <n v="430"/>
    <n v="49"/>
    <x v="1"/>
    <x v="2"/>
    <x v="1"/>
    <x v="3"/>
    <x v="1"/>
    <x v="1"/>
    <x v="9"/>
    <x v="1"/>
  </r>
  <r>
    <n v="1918"/>
    <d v="2023-05-23T00:00:00"/>
    <x v="4"/>
    <x v="13"/>
    <n v="385"/>
    <n v="4"/>
    <n v="1540"/>
    <n v="32"/>
    <x v="1"/>
    <x v="8"/>
    <x v="3"/>
    <x v="1"/>
    <x v="3"/>
    <x v="0"/>
    <x v="9"/>
    <x v="1"/>
  </r>
  <r>
    <n v="1919"/>
    <d v="2023-08-18T00:00:00"/>
    <x v="2"/>
    <x v="2"/>
    <n v="125"/>
    <n v="5"/>
    <n v="625"/>
    <n v="36"/>
    <x v="0"/>
    <x v="3"/>
    <x v="4"/>
    <x v="4"/>
    <x v="4"/>
    <x v="1"/>
    <x v="7"/>
    <x v="1"/>
  </r>
  <r>
    <n v="1920"/>
    <d v="2023-04-02T00:00:00"/>
    <x v="5"/>
    <x v="15"/>
    <n v="31"/>
    <n v="2"/>
    <n v="62"/>
    <n v="36"/>
    <x v="1"/>
    <x v="7"/>
    <x v="1"/>
    <x v="1"/>
    <x v="1"/>
    <x v="0"/>
    <x v="8"/>
    <x v="1"/>
  </r>
  <r>
    <n v="1921"/>
    <d v="2023-07-27T00:00:00"/>
    <x v="5"/>
    <x v="17"/>
    <n v="866"/>
    <n v="2"/>
    <n v="1732"/>
    <n v="20"/>
    <x v="1"/>
    <x v="5"/>
    <x v="4"/>
    <x v="3"/>
    <x v="1"/>
    <x v="1"/>
    <x v="4"/>
    <x v="0"/>
  </r>
  <r>
    <n v="1922"/>
    <d v="2023-09-23T00:00:00"/>
    <x v="5"/>
    <x v="11"/>
    <n v="185"/>
    <n v="1"/>
    <n v="185"/>
    <n v="39"/>
    <x v="0"/>
    <x v="2"/>
    <x v="5"/>
    <x v="0"/>
    <x v="2"/>
    <x v="1"/>
    <x v="1"/>
    <x v="1"/>
  </r>
  <r>
    <n v="1923"/>
    <d v="2023-02-10T00:00:00"/>
    <x v="6"/>
    <x v="16"/>
    <n v="924"/>
    <n v="2"/>
    <n v="1848"/>
    <n v="27"/>
    <x v="0"/>
    <x v="0"/>
    <x v="2"/>
    <x v="2"/>
    <x v="3"/>
    <x v="1"/>
    <x v="6"/>
    <x v="0"/>
  </r>
  <r>
    <n v="1924"/>
    <d v="2023-08-07T00:00:00"/>
    <x v="2"/>
    <x v="28"/>
    <n v="799"/>
    <n v="5"/>
    <n v="3995"/>
    <n v="57"/>
    <x v="0"/>
    <x v="8"/>
    <x v="0"/>
    <x v="4"/>
    <x v="0"/>
    <x v="1"/>
    <x v="7"/>
    <x v="2"/>
  </r>
  <r>
    <n v="1925"/>
    <d v="2023-02-25T00:00:00"/>
    <x v="6"/>
    <x v="24"/>
    <n v="1486"/>
    <n v="5"/>
    <n v="7430"/>
    <n v="34"/>
    <x v="0"/>
    <x v="9"/>
    <x v="5"/>
    <x v="4"/>
    <x v="3"/>
    <x v="1"/>
    <x v="6"/>
    <x v="1"/>
  </r>
  <r>
    <n v="1926"/>
    <d v="2023-08-25T00:00:00"/>
    <x v="3"/>
    <x v="25"/>
    <n v="1208"/>
    <n v="4"/>
    <n v="4832"/>
    <n v="33"/>
    <x v="0"/>
    <x v="8"/>
    <x v="3"/>
    <x v="4"/>
    <x v="2"/>
    <x v="1"/>
    <x v="7"/>
    <x v="1"/>
  </r>
  <r>
    <n v="1927"/>
    <d v="2024-01-18T00:00:00"/>
    <x v="1"/>
    <x v="31"/>
    <n v="60"/>
    <n v="2"/>
    <n v="120"/>
    <n v="36"/>
    <x v="1"/>
    <x v="5"/>
    <x v="1"/>
    <x v="3"/>
    <x v="2"/>
    <x v="1"/>
    <x v="2"/>
    <x v="1"/>
  </r>
  <r>
    <n v="1928"/>
    <d v="2023-06-20T00:00:00"/>
    <x v="5"/>
    <x v="15"/>
    <n v="1291"/>
    <n v="1"/>
    <n v="1291"/>
    <n v="46"/>
    <x v="0"/>
    <x v="1"/>
    <x v="3"/>
    <x v="1"/>
    <x v="1"/>
    <x v="1"/>
    <x v="5"/>
    <x v="1"/>
  </r>
  <r>
    <n v="1929"/>
    <d v="2023-09-20T00:00:00"/>
    <x v="0"/>
    <x v="12"/>
    <n v="1121"/>
    <n v="1"/>
    <n v="1121"/>
    <n v="30"/>
    <x v="0"/>
    <x v="8"/>
    <x v="0"/>
    <x v="2"/>
    <x v="1"/>
    <x v="0"/>
    <x v="1"/>
    <x v="1"/>
  </r>
  <r>
    <n v="1930"/>
    <d v="2023-05-15T00:00:00"/>
    <x v="5"/>
    <x v="15"/>
    <n v="1135"/>
    <n v="2"/>
    <n v="2270"/>
    <n v="60"/>
    <x v="0"/>
    <x v="6"/>
    <x v="0"/>
    <x v="2"/>
    <x v="1"/>
    <x v="1"/>
    <x v="9"/>
    <x v="2"/>
  </r>
  <r>
    <n v="1931"/>
    <d v="2023-04-13T00:00:00"/>
    <x v="6"/>
    <x v="18"/>
    <n v="23"/>
    <n v="3"/>
    <n v="69"/>
    <n v="38"/>
    <x v="0"/>
    <x v="6"/>
    <x v="5"/>
    <x v="0"/>
    <x v="0"/>
    <x v="0"/>
    <x v="8"/>
    <x v="1"/>
  </r>
  <r>
    <n v="1932"/>
    <d v="2023-09-25T00:00:00"/>
    <x v="5"/>
    <x v="15"/>
    <n v="733"/>
    <n v="4"/>
    <n v="2932"/>
    <n v="50"/>
    <x v="0"/>
    <x v="8"/>
    <x v="3"/>
    <x v="4"/>
    <x v="5"/>
    <x v="0"/>
    <x v="1"/>
    <x v="2"/>
  </r>
  <r>
    <n v="1933"/>
    <d v="2024-01-23T00:00:00"/>
    <x v="2"/>
    <x v="30"/>
    <n v="1212"/>
    <n v="5"/>
    <n v="6060"/>
    <n v="41"/>
    <x v="0"/>
    <x v="1"/>
    <x v="3"/>
    <x v="2"/>
    <x v="1"/>
    <x v="1"/>
    <x v="2"/>
    <x v="1"/>
  </r>
  <r>
    <n v="1934"/>
    <d v="2023-09-22T00:00:00"/>
    <x v="3"/>
    <x v="3"/>
    <n v="972"/>
    <n v="3"/>
    <n v="2916"/>
    <n v="21"/>
    <x v="1"/>
    <x v="4"/>
    <x v="0"/>
    <x v="4"/>
    <x v="5"/>
    <x v="1"/>
    <x v="1"/>
    <x v="0"/>
  </r>
  <r>
    <n v="1935"/>
    <d v="2023-08-21T00:00:00"/>
    <x v="0"/>
    <x v="34"/>
    <n v="1169"/>
    <n v="2"/>
    <n v="2338"/>
    <n v="58"/>
    <x v="1"/>
    <x v="2"/>
    <x v="5"/>
    <x v="1"/>
    <x v="2"/>
    <x v="0"/>
    <x v="7"/>
    <x v="2"/>
  </r>
  <r>
    <n v="1936"/>
    <d v="2023-05-10T00:00:00"/>
    <x v="2"/>
    <x v="30"/>
    <n v="241"/>
    <n v="4"/>
    <n v="964"/>
    <n v="21"/>
    <x v="0"/>
    <x v="0"/>
    <x v="0"/>
    <x v="2"/>
    <x v="4"/>
    <x v="1"/>
    <x v="9"/>
    <x v="0"/>
  </r>
  <r>
    <n v="1937"/>
    <d v="2023-01-03T00:00:00"/>
    <x v="4"/>
    <x v="29"/>
    <n v="259"/>
    <n v="2"/>
    <n v="518"/>
    <n v="55"/>
    <x v="0"/>
    <x v="7"/>
    <x v="0"/>
    <x v="0"/>
    <x v="1"/>
    <x v="0"/>
    <x v="2"/>
    <x v="2"/>
  </r>
  <r>
    <n v="1938"/>
    <d v="2023-08-25T00:00:00"/>
    <x v="0"/>
    <x v="12"/>
    <n v="364"/>
    <n v="4"/>
    <n v="1456"/>
    <n v="49"/>
    <x v="0"/>
    <x v="0"/>
    <x v="1"/>
    <x v="2"/>
    <x v="3"/>
    <x v="1"/>
    <x v="7"/>
    <x v="1"/>
  </r>
  <r>
    <n v="1939"/>
    <d v="2023-03-16T00:00:00"/>
    <x v="6"/>
    <x v="16"/>
    <n v="345"/>
    <n v="4"/>
    <n v="1380"/>
    <n v="26"/>
    <x v="0"/>
    <x v="5"/>
    <x v="3"/>
    <x v="1"/>
    <x v="5"/>
    <x v="1"/>
    <x v="3"/>
    <x v="0"/>
  </r>
  <r>
    <n v="1940"/>
    <d v="2023-02-01T00:00:00"/>
    <x v="4"/>
    <x v="13"/>
    <n v="554"/>
    <n v="2"/>
    <n v="1108"/>
    <n v="49"/>
    <x v="0"/>
    <x v="8"/>
    <x v="0"/>
    <x v="4"/>
    <x v="5"/>
    <x v="0"/>
    <x v="6"/>
    <x v="1"/>
  </r>
  <r>
    <n v="1941"/>
    <d v="2023-09-08T00:00:00"/>
    <x v="4"/>
    <x v="13"/>
    <n v="1252"/>
    <n v="1"/>
    <n v="1252"/>
    <n v="50"/>
    <x v="1"/>
    <x v="0"/>
    <x v="1"/>
    <x v="1"/>
    <x v="0"/>
    <x v="0"/>
    <x v="1"/>
    <x v="2"/>
  </r>
  <r>
    <n v="1942"/>
    <d v="2023-08-07T00:00:00"/>
    <x v="4"/>
    <x v="29"/>
    <n v="649"/>
    <n v="2"/>
    <n v="1298"/>
    <n v="24"/>
    <x v="0"/>
    <x v="8"/>
    <x v="0"/>
    <x v="2"/>
    <x v="1"/>
    <x v="1"/>
    <x v="7"/>
    <x v="0"/>
  </r>
  <r>
    <n v="1943"/>
    <d v="2023-04-12T00:00:00"/>
    <x v="0"/>
    <x v="22"/>
    <n v="1479"/>
    <n v="5"/>
    <n v="7395"/>
    <n v="39"/>
    <x v="1"/>
    <x v="1"/>
    <x v="1"/>
    <x v="4"/>
    <x v="5"/>
    <x v="0"/>
    <x v="8"/>
    <x v="1"/>
  </r>
  <r>
    <n v="1944"/>
    <d v="2024-02-04T00:00:00"/>
    <x v="2"/>
    <x v="5"/>
    <n v="796"/>
    <n v="2"/>
    <n v="1592"/>
    <n v="52"/>
    <x v="1"/>
    <x v="0"/>
    <x v="0"/>
    <x v="4"/>
    <x v="3"/>
    <x v="0"/>
    <x v="6"/>
    <x v="2"/>
  </r>
  <r>
    <n v="1945"/>
    <d v="2023-04-19T00:00:00"/>
    <x v="1"/>
    <x v="27"/>
    <n v="453"/>
    <n v="1"/>
    <n v="453"/>
    <n v="54"/>
    <x v="0"/>
    <x v="9"/>
    <x v="2"/>
    <x v="1"/>
    <x v="5"/>
    <x v="0"/>
    <x v="8"/>
    <x v="2"/>
  </r>
  <r>
    <n v="1946"/>
    <d v="2024-01-09T00:00:00"/>
    <x v="0"/>
    <x v="22"/>
    <n v="887"/>
    <n v="5"/>
    <n v="4435"/>
    <n v="42"/>
    <x v="0"/>
    <x v="7"/>
    <x v="1"/>
    <x v="3"/>
    <x v="0"/>
    <x v="0"/>
    <x v="2"/>
    <x v="1"/>
  </r>
  <r>
    <n v="1947"/>
    <d v="2023-12-31T00:00:00"/>
    <x v="4"/>
    <x v="6"/>
    <n v="309"/>
    <n v="3"/>
    <n v="927"/>
    <n v="39"/>
    <x v="0"/>
    <x v="5"/>
    <x v="1"/>
    <x v="4"/>
    <x v="5"/>
    <x v="0"/>
    <x v="11"/>
    <x v="1"/>
  </r>
  <r>
    <n v="1948"/>
    <d v="2023-12-30T00:00:00"/>
    <x v="6"/>
    <x v="16"/>
    <n v="940"/>
    <n v="3"/>
    <n v="2820"/>
    <n v="24"/>
    <x v="0"/>
    <x v="7"/>
    <x v="3"/>
    <x v="2"/>
    <x v="1"/>
    <x v="1"/>
    <x v="11"/>
    <x v="0"/>
  </r>
  <r>
    <n v="1949"/>
    <d v="2023-11-02T00:00:00"/>
    <x v="6"/>
    <x v="18"/>
    <n v="1108"/>
    <n v="1"/>
    <n v="1108"/>
    <n v="19"/>
    <x v="1"/>
    <x v="8"/>
    <x v="4"/>
    <x v="2"/>
    <x v="0"/>
    <x v="1"/>
    <x v="10"/>
    <x v="0"/>
  </r>
  <r>
    <n v="1950"/>
    <d v="2023-08-25T00:00:00"/>
    <x v="5"/>
    <x v="15"/>
    <n v="989"/>
    <n v="1"/>
    <n v="989"/>
    <n v="45"/>
    <x v="0"/>
    <x v="6"/>
    <x v="4"/>
    <x v="3"/>
    <x v="2"/>
    <x v="0"/>
    <x v="7"/>
    <x v="1"/>
  </r>
  <r>
    <n v="1951"/>
    <d v="2023-01-20T00:00:00"/>
    <x v="1"/>
    <x v="1"/>
    <n v="1303"/>
    <n v="5"/>
    <n v="6515"/>
    <n v="32"/>
    <x v="1"/>
    <x v="5"/>
    <x v="0"/>
    <x v="3"/>
    <x v="2"/>
    <x v="1"/>
    <x v="2"/>
    <x v="1"/>
  </r>
  <r>
    <n v="1952"/>
    <d v="2023-06-25T00:00:00"/>
    <x v="6"/>
    <x v="8"/>
    <n v="708"/>
    <n v="3"/>
    <n v="2124"/>
    <n v="46"/>
    <x v="0"/>
    <x v="2"/>
    <x v="2"/>
    <x v="0"/>
    <x v="3"/>
    <x v="1"/>
    <x v="5"/>
    <x v="1"/>
  </r>
  <r>
    <n v="1953"/>
    <d v="2023-08-14T00:00:00"/>
    <x v="5"/>
    <x v="15"/>
    <n v="138"/>
    <n v="2"/>
    <n v="276"/>
    <n v="26"/>
    <x v="0"/>
    <x v="0"/>
    <x v="2"/>
    <x v="3"/>
    <x v="0"/>
    <x v="1"/>
    <x v="7"/>
    <x v="0"/>
  </r>
  <r>
    <n v="1954"/>
    <d v="2023-08-03T00:00:00"/>
    <x v="6"/>
    <x v="33"/>
    <n v="1360"/>
    <n v="5"/>
    <n v="6800"/>
    <n v="20"/>
    <x v="1"/>
    <x v="0"/>
    <x v="0"/>
    <x v="3"/>
    <x v="5"/>
    <x v="0"/>
    <x v="7"/>
    <x v="0"/>
  </r>
  <r>
    <n v="1955"/>
    <d v="2023-09-23T00:00:00"/>
    <x v="5"/>
    <x v="15"/>
    <n v="920"/>
    <n v="4"/>
    <n v="3680"/>
    <n v="28"/>
    <x v="0"/>
    <x v="3"/>
    <x v="2"/>
    <x v="4"/>
    <x v="3"/>
    <x v="0"/>
    <x v="1"/>
    <x v="0"/>
  </r>
  <r>
    <n v="1956"/>
    <d v="2023-12-07T00:00:00"/>
    <x v="2"/>
    <x v="2"/>
    <n v="946"/>
    <n v="3"/>
    <n v="2838"/>
    <n v="24"/>
    <x v="0"/>
    <x v="1"/>
    <x v="3"/>
    <x v="1"/>
    <x v="1"/>
    <x v="0"/>
    <x v="11"/>
    <x v="0"/>
  </r>
  <r>
    <n v="1957"/>
    <d v="2023-12-26T00:00:00"/>
    <x v="6"/>
    <x v="18"/>
    <n v="1268"/>
    <n v="2"/>
    <n v="2536"/>
    <n v="60"/>
    <x v="0"/>
    <x v="4"/>
    <x v="5"/>
    <x v="3"/>
    <x v="3"/>
    <x v="0"/>
    <x v="11"/>
    <x v="2"/>
  </r>
  <r>
    <n v="1958"/>
    <d v="2023-03-25T00:00:00"/>
    <x v="1"/>
    <x v="1"/>
    <n v="621"/>
    <n v="3"/>
    <n v="1863"/>
    <n v="25"/>
    <x v="0"/>
    <x v="2"/>
    <x v="4"/>
    <x v="0"/>
    <x v="4"/>
    <x v="0"/>
    <x v="3"/>
    <x v="0"/>
  </r>
  <r>
    <n v="1959"/>
    <d v="2023-05-09T00:00:00"/>
    <x v="4"/>
    <x v="4"/>
    <n v="730"/>
    <n v="5"/>
    <n v="3650"/>
    <n v="51"/>
    <x v="0"/>
    <x v="5"/>
    <x v="0"/>
    <x v="2"/>
    <x v="1"/>
    <x v="1"/>
    <x v="9"/>
    <x v="2"/>
  </r>
  <r>
    <n v="1960"/>
    <d v="2023-11-05T00:00:00"/>
    <x v="4"/>
    <x v="19"/>
    <n v="576"/>
    <n v="4"/>
    <n v="2304"/>
    <n v="45"/>
    <x v="0"/>
    <x v="2"/>
    <x v="3"/>
    <x v="3"/>
    <x v="0"/>
    <x v="1"/>
    <x v="10"/>
    <x v="1"/>
  </r>
  <r>
    <n v="1961"/>
    <d v="2023-10-05T00:00:00"/>
    <x v="1"/>
    <x v="1"/>
    <n v="420"/>
    <n v="5"/>
    <n v="2100"/>
    <n v="31"/>
    <x v="1"/>
    <x v="5"/>
    <x v="0"/>
    <x v="0"/>
    <x v="2"/>
    <x v="0"/>
    <x v="0"/>
    <x v="1"/>
  </r>
  <r>
    <n v="1962"/>
    <d v="2023-05-09T00:00:00"/>
    <x v="2"/>
    <x v="20"/>
    <n v="644"/>
    <n v="5"/>
    <n v="3220"/>
    <n v="40"/>
    <x v="0"/>
    <x v="7"/>
    <x v="3"/>
    <x v="1"/>
    <x v="1"/>
    <x v="1"/>
    <x v="9"/>
    <x v="1"/>
  </r>
  <r>
    <n v="1963"/>
    <d v="2023-12-22T00:00:00"/>
    <x v="5"/>
    <x v="32"/>
    <n v="1254"/>
    <n v="2"/>
    <n v="2508"/>
    <n v="21"/>
    <x v="0"/>
    <x v="8"/>
    <x v="1"/>
    <x v="1"/>
    <x v="3"/>
    <x v="1"/>
    <x v="11"/>
    <x v="0"/>
  </r>
  <r>
    <n v="1964"/>
    <d v="2023-07-22T00:00:00"/>
    <x v="4"/>
    <x v="29"/>
    <n v="591"/>
    <n v="3"/>
    <n v="1773"/>
    <n v="32"/>
    <x v="0"/>
    <x v="0"/>
    <x v="1"/>
    <x v="1"/>
    <x v="1"/>
    <x v="0"/>
    <x v="4"/>
    <x v="1"/>
  </r>
  <r>
    <n v="1965"/>
    <d v="2023-03-09T00:00:00"/>
    <x v="6"/>
    <x v="33"/>
    <n v="1244"/>
    <n v="3"/>
    <n v="3732"/>
    <n v="50"/>
    <x v="1"/>
    <x v="2"/>
    <x v="3"/>
    <x v="3"/>
    <x v="1"/>
    <x v="0"/>
    <x v="3"/>
    <x v="2"/>
  </r>
  <r>
    <n v="1966"/>
    <d v="2023-02-03T00:00:00"/>
    <x v="1"/>
    <x v="9"/>
    <n v="1241"/>
    <n v="1"/>
    <n v="1241"/>
    <n v="27"/>
    <x v="0"/>
    <x v="9"/>
    <x v="4"/>
    <x v="0"/>
    <x v="5"/>
    <x v="0"/>
    <x v="6"/>
    <x v="0"/>
  </r>
  <r>
    <n v="1967"/>
    <d v="2023-03-05T00:00:00"/>
    <x v="4"/>
    <x v="19"/>
    <n v="74"/>
    <n v="2"/>
    <n v="148"/>
    <n v="39"/>
    <x v="0"/>
    <x v="0"/>
    <x v="3"/>
    <x v="4"/>
    <x v="2"/>
    <x v="1"/>
    <x v="3"/>
    <x v="1"/>
  </r>
  <r>
    <n v="1968"/>
    <d v="2023-02-04T00:00:00"/>
    <x v="2"/>
    <x v="20"/>
    <n v="252"/>
    <n v="1"/>
    <n v="252"/>
    <n v="18"/>
    <x v="0"/>
    <x v="7"/>
    <x v="0"/>
    <x v="3"/>
    <x v="0"/>
    <x v="0"/>
    <x v="6"/>
    <x v="0"/>
  </r>
  <r>
    <n v="1969"/>
    <d v="2023-01-30T00:00:00"/>
    <x v="1"/>
    <x v="31"/>
    <n v="1077"/>
    <n v="3"/>
    <n v="3231"/>
    <n v="36"/>
    <x v="0"/>
    <x v="0"/>
    <x v="5"/>
    <x v="4"/>
    <x v="4"/>
    <x v="0"/>
    <x v="2"/>
    <x v="1"/>
  </r>
  <r>
    <n v="1970"/>
    <d v="2023-08-07T00:00:00"/>
    <x v="2"/>
    <x v="28"/>
    <n v="638"/>
    <n v="3"/>
    <n v="1914"/>
    <n v="44"/>
    <x v="1"/>
    <x v="2"/>
    <x v="4"/>
    <x v="1"/>
    <x v="4"/>
    <x v="0"/>
    <x v="7"/>
    <x v="1"/>
  </r>
  <r>
    <n v="1971"/>
    <d v="2023-12-09T00:00:00"/>
    <x v="3"/>
    <x v="3"/>
    <n v="1284"/>
    <n v="4"/>
    <n v="5136"/>
    <n v="54"/>
    <x v="0"/>
    <x v="6"/>
    <x v="1"/>
    <x v="4"/>
    <x v="4"/>
    <x v="1"/>
    <x v="11"/>
    <x v="2"/>
  </r>
  <r>
    <n v="1972"/>
    <d v="2023-12-03T00:00:00"/>
    <x v="4"/>
    <x v="13"/>
    <n v="1258"/>
    <n v="2"/>
    <n v="2516"/>
    <n v="57"/>
    <x v="1"/>
    <x v="4"/>
    <x v="2"/>
    <x v="1"/>
    <x v="5"/>
    <x v="1"/>
    <x v="11"/>
    <x v="2"/>
  </r>
  <r>
    <n v="1973"/>
    <d v="2023-01-11T00:00:00"/>
    <x v="0"/>
    <x v="12"/>
    <n v="491"/>
    <n v="4"/>
    <n v="1964"/>
    <n v="48"/>
    <x v="1"/>
    <x v="8"/>
    <x v="3"/>
    <x v="2"/>
    <x v="2"/>
    <x v="0"/>
    <x v="2"/>
    <x v="1"/>
  </r>
  <r>
    <n v="1974"/>
    <d v="2023-05-11T00:00:00"/>
    <x v="5"/>
    <x v="17"/>
    <n v="1019"/>
    <n v="1"/>
    <n v="1019"/>
    <n v="19"/>
    <x v="1"/>
    <x v="9"/>
    <x v="4"/>
    <x v="4"/>
    <x v="2"/>
    <x v="0"/>
    <x v="9"/>
    <x v="0"/>
  </r>
  <r>
    <n v="1975"/>
    <d v="2023-08-09T00:00:00"/>
    <x v="1"/>
    <x v="35"/>
    <n v="147"/>
    <n v="2"/>
    <n v="294"/>
    <n v="26"/>
    <x v="0"/>
    <x v="8"/>
    <x v="0"/>
    <x v="1"/>
    <x v="2"/>
    <x v="1"/>
    <x v="7"/>
    <x v="0"/>
  </r>
  <r>
    <n v="1976"/>
    <d v="2023-04-04T00:00:00"/>
    <x v="5"/>
    <x v="11"/>
    <n v="755"/>
    <n v="4"/>
    <n v="3020"/>
    <n v="21"/>
    <x v="0"/>
    <x v="6"/>
    <x v="3"/>
    <x v="2"/>
    <x v="1"/>
    <x v="1"/>
    <x v="8"/>
    <x v="0"/>
  </r>
  <r>
    <n v="1977"/>
    <d v="2023-09-12T00:00:00"/>
    <x v="3"/>
    <x v="21"/>
    <n v="1373"/>
    <n v="4"/>
    <n v="5492"/>
    <n v="21"/>
    <x v="1"/>
    <x v="0"/>
    <x v="5"/>
    <x v="3"/>
    <x v="4"/>
    <x v="0"/>
    <x v="1"/>
    <x v="0"/>
  </r>
  <r>
    <n v="1978"/>
    <d v="2023-10-24T00:00:00"/>
    <x v="4"/>
    <x v="19"/>
    <n v="854"/>
    <n v="4"/>
    <n v="3416"/>
    <n v="44"/>
    <x v="0"/>
    <x v="1"/>
    <x v="1"/>
    <x v="3"/>
    <x v="2"/>
    <x v="0"/>
    <x v="0"/>
    <x v="1"/>
  </r>
  <r>
    <n v="1979"/>
    <d v="2023-04-29T00:00:00"/>
    <x v="3"/>
    <x v="25"/>
    <n v="1071"/>
    <n v="1"/>
    <n v="1071"/>
    <n v="55"/>
    <x v="0"/>
    <x v="0"/>
    <x v="0"/>
    <x v="2"/>
    <x v="0"/>
    <x v="1"/>
    <x v="8"/>
    <x v="2"/>
  </r>
  <r>
    <n v="1980"/>
    <d v="2023-06-12T00:00:00"/>
    <x v="4"/>
    <x v="4"/>
    <n v="741"/>
    <n v="1"/>
    <n v="741"/>
    <n v="39"/>
    <x v="1"/>
    <x v="1"/>
    <x v="3"/>
    <x v="4"/>
    <x v="0"/>
    <x v="1"/>
    <x v="5"/>
    <x v="1"/>
  </r>
  <r>
    <n v="1981"/>
    <d v="2023-01-29T00:00:00"/>
    <x v="3"/>
    <x v="23"/>
    <n v="1062"/>
    <n v="1"/>
    <n v="1062"/>
    <n v="29"/>
    <x v="0"/>
    <x v="6"/>
    <x v="3"/>
    <x v="3"/>
    <x v="1"/>
    <x v="1"/>
    <x v="2"/>
    <x v="0"/>
  </r>
  <r>
    <n v="1982"/>
    <d v="2023-08-14T00:00:00"/>
    <x v="2"/>
    <x v="20"/>
    <n v="1303"/>
    <n v="4"/>
    <n v="5212"/>
    <n v="53"/>
    <x v="1"/>
    <x v="6"/>
    <x v="0"/>
    <x v="4"/>
    <x v="0"/>
    <x v="0"/>
    <x v="7"/>
    <x v="2"/>
  </r>
  <r>
    <n v="1983"/>
    <d v="2023-07-22T00:00:00"/>
    <x v="2"/>
    <x v="2"/>
    <n v="798"/>
    <n v="1"/>
    <n v="798"/>
    <n v="36"/>
    <x v="0"/>
    <x v="7"/>
    <x v="1"/>
    <x v="2"/>
    <x v="1"/>
    <x v="1"/>
    <x v="4"/>
    <x v="1"/>
  </r>
  <r>
    <n v="1984"/>
    <d v="2023-05-08T00:00:00"/>
    <x v="3"/>
    <x v="25"/>
    <n v="333"/>
    <n v="1"/>
    <n v="333"/>
    <n v="50"/>
    <x v="1"/>
    <x v="8"/>
    <x v="5"/>
    <x v="4"/>
    <x v="4"/>
    <x v="0"/>
    <x v="9"/>
    <x v="2"/>
  </r>
  <r>
    <n v="1985"/>
    <d v="2023-04-04T00:00:00"/>
    <x v="4"/>
    <x v="19"/>
    <n v="717"/>
    <n v="4"/>
    <n v="2868"/>
    <n v="52"/>
    <x v="0"/>
    <x v="2"/>
    <x v="1"/>
    <x v="3"/>
    <x v="1"/>
    <x v="0"/>
    <x v="8"/>
    <x v="2"/>
  </r>
  <r>
    <n v="1986"/>
    <d v="2023-12-05T00:00:00"/>
    <x v="5"/>
    <x v="17"/>
    <n v="939"/>
    <n v="2"/>
    <n v="1878"/>
    <n v="49"/>
    <x v="0"/>
    <x v="5"/>
    <x v="0"/>
    <x v="3"/>
    <x v="3"/>
    <x v="1"/>
    <x v="11"/>
    <x v="1"/>
  </r>
  <r>
    <n v="1987"/>
    <d v="2023-08-26T00:00:00"/>
    <x v="2"/>
    <x v="30"/>
    <n v="1166"/>
    <n v="4"/>
    <n v="4664"/>
    <n v="43"/>
    <x v="0"/>
    <x v="5"/>
    <x v="2"/>
    <x v="0"/>
    <x v="2"/>
    <x v="1"/>
    <x v="7"/>
    <x v="1"/>
  </r>
  <r>
    <n v="1988"/>
    <d v="2023-07-29T00:00:00"/>
    <x v="3"/>
    <x v="3"/>
    <n v="610"/>
    <n v="4"/>
    <n v="2440"/>
    <n v="37"/>
    <x v="1"/>
    <x v="3"/>
    <x v="4"/>
    <x v="0"/>
    <x v="1"/>
    <x v="1"/>
    <x v="4"/>
    <x v="1"/>
  </r>
  <r>
    <n v="1989"/>
    <d v="2023-09-09T00:00:00"/>
    <x v="4"/>
    <x v="13"/>
    <n v="1377"/>
    <n v="2"/>
    <n v="2754"/>
    <n v="18"/>
    <x v="1"/>
    <x v="0"/>
    <x v="5"/>
    <x v="4"/>
    <x v="3"/>
    <x v="1"/>
    <x v="1"/>
    <x v="0"/>
  </r>
  <r>
    <n v="1990"/>
    <d v="2023-02-27T00:00:00"/>
    <x v="0"/>
    <x v="22"/>
    <n v="845"/>
    <n v="5"/>
    <n v="4225"/>
    <n v="57"/>
    <x v="1"/>
    <x v="8"/>
    <x v="5"/>
    <x v="3"/>
    <x v="5"/>
    <x v="0"/>
    <x v="6"/>
    <x v="2"/>
  </r>
  <r>
    <n v="1991"/>
    <d v="2024-01-16T00:00:00"/>
    <x v="0"/>
    <x v="10"/>
    <n v="847"/>
    <n v="1"/>
    <n v="847"/>
    <n v="22"/>
    <x v="1"/>
    <x v="3"/>
    <x v="2"/>
    <x v="1"/>
    <x v="3"/>
    <x v="0"/>
    <x v="2"/>
    <x v="0"/>
  </r>
  <r>
    <n v="1992"/>
    <d v="2023-03-20T00:00:00"/>
    <x v="5"/>
    <x v="15"/>
    <n v="1068"/>
    <n v="1"/>
    <n v="1068"/>
    <n v="36"/>
    <x v="1"/>
    <x v="6"/>
    <x v="0"/>
    <x v="2"/>
    <x v="3"/>
    <x v="0"/>
    <x v="3"/>
    <x v="1"/>
  </r>
  <r>
    <n v="1993"/>
    <d v="2023-06-09T00:00:00"/>
    <x v="6"/>
    <x v="24"/>
    <n v="315"/>
    <n v="4"/>
    <n v="1260"/>
    <n v="29"/>
    <x v="1"/>
    <x v="9"/>
    <x v="0"/>
    <x v="2"/>
    <x v="5"/>
    <x v="0"/>
    <x v="5"/>
    <x v="0"/>
  </r>
  <r>
    <n v="1994"/>
    <d v="2023-03-28T00:00:00"/>
    <x v="4"/>
    <x v="6"/>
    <n v="1264"/>
    <n v="3"/>
    <n v="3792"/>
    <n v="20"/>
    <x v="0"/>
    <x v="7"/>
    <x v="4"/>
    <x v="4"/>
    <x v="1"/>
    <x v="1"/>
    <x v="3"/>
    <x v="0"/>
  </r>
  <r>
    <n v="1995"/>
    <d v="2023-09-11T00:00:00"/>
    <x v="5"/>
    <x v="15"/>
    <n v="1374"/>
    <n v="5"/>
    <n v="6870"/>
    <n v="52"/>
    <x v="1"/>
    <x v="9"/>
    <x v="5"/>
    <x v="3"/>
    <x v="2"/>
    <x v="1"/>
    <x v="1"/>
    <x v="2"/>
  </r>
  <r>
    <n v="1996"/>
    <d v="2023-10-27T00:00:00"/>
    <x v="3"/>
    <x v="3"/>
    <n v="480"/>
    <n v="5"/>
    <n v="2400"/>
    <n v="60"/>
    <x v="1"/>
    <x v="4"/>
    <x v="2"/>
    <x v="1"/>
    <x v="2"/>
    <x v="1"/>
    <x v="0"/>
    <x v="2"/>
  </r>
  <r>
    <n v="1997"/>
    <d v="2023-12-21T00:00:00"/>
    <x v="6"/>
    <x v="8"/>
    <n v="207"/>
    <n v="3"/>
    <n v="621"/>
    <n v="38"/>
    <x v="0"/>
    <x v="2"/>
    <x v="2"/>
    <x v="1"/>
    <x v="1"/>
    <x v="0"/>
    <x v="11"/>
    <x v="1"/>
  </r>
  <r>
    <n v="1998"/>
    <d v="2023-02-23T00:00:00"/>
    <x v="4"/>
    <x v="19"/>
    <n v="1323"/>
    <n v="3"/>
    <n v="3969"/>
    <n v="23"/>
    <x v="1"/>
    <x v="5"/>
    <x v="3"/>
    <x v="4"/>
    <x v="3"/>
    <x v="0"/>
    <x v="6"/>
    <x v="0"/>
  </r>
  <r>
    <n v="1999"/>
    <d v="2023-01-11T00:00:00"/>
    <x v="3"/>
    <x v="21"/>
    <n v="707"/>
    <n v="5"/>
    <n v="3535"/>
    <n v="18"/>
    <x v="0"/>
    <x v="8"/>
    <x v="3"/>
    <x v="4"/>
    <x v="1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BEC72-5EFC-4345-9ED5-255737FDC033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 chartFormat="10">
  <location ref="D44:E55" firstHeaderRow="1" firstDataRow="1" firstDataCol="1"/>
  <pivotFields count="16">
    <pivotField compact="0" outline="0" showAll="0"/>
    <pivotField compact="0" numFmtId="14" outline="0" showAll="0"/>
    <pivotField compact="0" outline="0" showAll="0"/>
    <pivotField axis="axisRow" compact="0" outline="0" showAll="0" measureFilter="1">
      <items count="37">
        <item x="29"/>
        <item x="22"/>
        <item x="16"/>
        <item x="3"/>
        <item x="31"/>
        <item x="26"/>
        <item x="25"/>
        <item x="1"/>
        <item x="27"/>
        <item x="0"/>
        <item x="12"/>
        <item x="17"/>
        <item x="4"/>
        <item x="18"/>
        <item x="2"/>
        <item x="11"/>
        <item x="30"/>
        <item x="10"/>
        <item x="21"/>
        <item x="23"/>
        <item x="34"/>
        <item x="14"/>
        <item x="8"/>
        <item x="24"/>
        <item x="6"/>
        <item x="20"/>
        <item x="5"/>
        <item x="33"/>
        <item x="15"/>
        <item x="9"/>
        <item x="28"/>
        <item x="13"/>
        <item x="32"/>
        <item x="35"/>
        <item x="7"/>
        <item x="19"/>
        <item t="default"/>
      </items>
    </pivotField>
    <pivotField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>
      <items count="13">
        <item h="1" x="2"/>
        <item h="1" x="6"/>
        <item h="1" x="3"/>
        <item h="1" x="8"/>
        <item h="1" x="9"/>
        <item h="1" x="5"/>
        <item h="1" x="4"/>
        <item x="7"/>
        <item h="1" x="1"/>
        <item h="1" x="0"/>
        <item h="1" x="10"/>
        <item h="1" x="11"/>
        <item t="default"/>
      </items>
    </pivotField>
    <pivotField compact="0" outline="0" showAll="0"/>
  </pivotFields>
  <rowFields count="1">
    <field x="3"/>
  </rowFields>
  <rowItems count="11">
    <i>
      <x v="5"/>
    </i>
    <i>
      <x v="6"/>
    </i>
    <i>
      <x v="7"/>
    </i>
    <i>
      <x v="11"/>
    </i>
    <i>
      <x v="21"/>
    </i>
    <i>
      <x v="25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uantity_Sold" fld="5" baseField="0" baseItem="0" numFmtId="1"/>
  </dataFields>
  <formats count="4">
    <format dxfId="3">
      <pivotArea outline="0" fieldPosition="0">
        <references count="1">
          <reference field="3" count="3" selected="0">
            <x v="0"/>
            <x v="3"/>
            <x v="10"/>
          </reference>
        </references>
      </pivotArea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3" count="3">
            <x v="0"/>
            <x v="3"/>
            <x v="10"/>
          </reference>
        </references>
      </pivotArea>
    </format>
    <format dxfId="0">
      <pivotArea dataOnly="0" labelOnly="1" outline="0" axis="axisValues" fieldPosition="0"/>
    </format>
  </formats>
  <chartFormats count="3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DED44-415E-4BCA-94DD-A27CB3B721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3:B51" firstHeaderRow="1" firstDataRow="1" firstDataCol="1"/>
  <pivotFields count="15">
    <pivotField compact="0" outline="0" showAll="0"/>
    <pivotField compact="0" numFmtId="14" outline="0" showAll="0"/>
    <pivotField axis="axisRow" compact="0" outline="0" showAll="0" sortType="descending">
      <items count="8">
        <item x="0"/>
        <item x="4"/>
        <item x="1"/>
        <item x="3"/>
        <item x="6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5"/>
    </i>
    <i>
      <x v="4"/>
    </i>
    <i>
      <x v="1"/>
    </i>
    <i>
      <x v="3"/>
    </i>
    <i>
      <x v="2"/>
    </i>
    <i>
      <x v="6"/>
    </i>
    <i t="grand">
      <x/>
    </i>
  </rowItems>
  <colItems count="1">
    <i/>
  </colItems>
  <dataFields count="1">
    <dataField name="Sum of Total_Sales" fld="6" baseField="0" baseItem="0" numFmtId="1"/>
  </dataFields>
  <formats count="4">
    <format dxfId="7">
      <pivotArea outline="0" fieldPosition="0">
        <references count="1">
          <reference field="2" count="4" selected="0">
            <x v="0"/>
            <x v="1"/>
            <x v="4"/>
            <x v="5"/>
          </reference>
        </references>
      </pivotArea>
    </format>
    <format dxfId="6">
      <pivotArea field="2" type="button" dataOnly="0" labelOnly="1" outline="0" axis="axisRow" fieldPosition="0"/>
    </format>
    <format dxfId="5">
      <pivotArea dataOnly="0" labelOnly="1" outline="0" fieldPosition="0">
        <references count="1">
          <reference field="2" count="4">
            <x v="0"/>
            <x v="1"/>
            <x v="4"/>
            <x v="5"/>
          </reference>
        </references>
      </pivotArea>
    </format>
    <format dxfId="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186AB-5A6C-4EE2-9DB6-A5BD6921449D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 chartFormat="25">
  <location ref="A29:H38" firstHeaderRow="1" firstDataRow="2" firstDataCol="1"/>
  <pivotFields count="16">
    <pivotField compact="0" outline="0" showAll="0"/>
    <pivotField compact="0" numFmtId="14" outline="0" showAll="0"/>
    <pivotField axis="axisRow" compact="0" outline="0" showAll="0">
      <items count="8">
        <item x="5"/>
        <item x="2"/>
        <item x="6"/>
        <item x="3"/>
        <item x="1"/>
        <item x="4"/>
        <item x="0"/>
        <item t="default"/>
      </items>
    </pivotField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numFmtId="9" outline="0" showAll="0">
      <items count="7">
        <item x="3"/>
        <item x="0"/>
        <item x="4"/>
        <item x="2"/>
        <item x="1"/>
        <item x="5"/>
        <item t="default"/>
      </items>
    </pivotField>
    <pivotField compact="0" outline="0" showAll="0"/>
    <pivotField compact="0" outline="0" showAll="0">
      <items count="13">
        <item h="1" x="2"/>
        <item h="1" x="6"/>
        <item h="1" x="3"/>
        <item h="1" x="8"/>
        <item h="1" x="9"/>
        <item h="1" x="5"/>
        <item h="1" x="4"/>
        <item x="7"/>
        <item h="1" x="1"/>
        <item h="1" x="0"/>
        <item h="1" x="10"/>
        <item h="1" x="11"/>
        <item t="default"/>
      </items>
    </pivotField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Sales" fld="6" baseField="0" baseItem="0" numFmtId="1"/>
  </dataFields>
  <formats count="10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12" count="0"/>
        </references>
      </pivotArea>
    </format>
    <format dxfId="8">
      <pivotArea dataOnly="0" labelOnly="1" grandCol="1" outline="0" fieldPosition="0"/>
    </format>
  </formats>
  <chartFormats count="30"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0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0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0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3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3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3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3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3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67D13-60C4-46AA-B3C0-B2DE96045E95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 chartFormat="17">
  <location ref="G45:H56" firstHeaderRow="1" firstDataRow="1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axis="axisRow" compact="0" outline="0" showAll="0" sortType="ascending">
      <items count="11">
        <item x="9"/>
        <item x="8"/>
        <item x="4"/>
        <item x="0"/>
        <item x="1"/>
        <item x="5"/>
        <item x="6"/>
        <item x="3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>
      <items count="13">
        <item h="1" x="2"/>
        <item h="1" x="6"/>
        <item h="1" x="3"/>
        <item h="1" x="8"/>
        <item h="1" x="9"/>
        <item h="1" x="5"/>
        <item h="1" x="4"/>
        <item x="7"/>
        <item h="1" x="1"/>
        <item h="1" x="0"/>
        <item h="1" x="10"/>
        <item h="1" x="11"/>
        <item t="default"/>
      </items>
    </pivotField>
    <pivotField compact="0" outline="0" showAll="0"/>
  </pivotFields>
  <rowFields count="1">
    <field x="9"/>
  </rowFields>
  <rowItems count="11">
    <i>
      <x v="4"/>
    </i>
    <i>
      <x v="7"/>
    </i>
    <i>
      <x/>
    </i>
    <i>
      <x v="5"/>
    </i>
    <i>
      <x v="2"/>
    </i>
    <i>
      <x v="8"/>
    </i>
    <i>
      <x v="9"/>
    </i>
    <i>
      <x v="3"/>
    </i>
    <i>
      <x v="1"/>
    </i>
    <i>
      <x v="6"/>
    </i>
    <i t="grand">
      <x/>
    </i>
  </rowItems>
  <colItems count="1">
    <i/>
  </colItems>
  <dataFields count="1">
    <dataField name="Sum of Total_Sales" fld="6" baseField="0" baseItem="0" numFmtId="1"/>
  </dataFields>
  <formats count="4">
    <format dxfId="21">
      <pivotArea outline="0" fieldPosition="0">
        <references count="1">
          <reference field="9" count="2" selected="0">
            <x v="3"/>
            <x v="7"/>
          </reference>
        </references>
      </pivotArea>
    </format>
    <format dxfId="20">
      <pivotArea field="9" type="button" dataOnly="0" labelOnly="1" outline="0" axis="axisRow" fieldPosition="0"/>
    </format>
    <format dxfId="19">
      <pivotArea dataOnly="0" labelOnly="1" outline="0" fieldPosition="0">
        <references count="1">
          <reference field="9" count="2">
            <x v="3"/>
            <x v="7"/>
          </reference>
        </references>
      </pivotArea>
    </format>
    <format dxfId="18">
      <pivotArea dataOnly="0" labelOnly="1" outline="0" axis="axisValues" fieldPosition="0"/>
    </format>
  </formats>
  <chartFormats count="5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D1D5D-5119-4338-9C57-972DE9627005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 chartFormat="10">
  <location ref="A78:B85" firstHeaderRow="1" firstDataRow="1" firstDataCol="1"/>
  <pivotFields count="16">
    <pivotField dataField="1" compact="0" outline="0" showAll="0"/>
    <pivotField compact="0" numFmtId="14" outline="0" showAll="0"/>
    <pivotField compact="0" outline="0" showAll="0"/>
    <pivotField compact="0" outline="0" showAll="0">
      <items count="37">
        <item x="29"/>
        <item x="22"/>
        <item x="16"/>
        <item x="3"/>
        <item x="31"/>
        <item x="26"/>
        <item x="25"/>
        <item x="1"/>
        <item x="27"/>
        <item x="0"/>
        <item x="12"/>
        <item x="17"/>
        <item x="4"/>
        <item x="18"/>
        <item x="2"/>
        <item x="11"/>
        <item x="30"/>
        <item x="10"/>
        <item x="21"/>
        <item x="23"/>
        <item x="34"/>
        <item x="14"/>
        <item x="8"/>
        <item x="24"/>
        <item x="6"/>
        <item x="20"/>
        <item x="5"/>
        <item x="33"/>
        <item x="15"/>
        <item x="9"/>
        <item x="28"/>
        <item x="13"/>
        <item x="32"/>
        <item x="35"/>
        <item x="7"/>
        <item x="19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axis="axisRow" compact="0" outline="0" showAll="0">
      <items count="7">
        <item x="5"/>
        <item x="1"/>
        <item x="2"/>
        <item x="0"/>
        <item x="4"/>
        <item x="3"/>
        <item t="default"/>
      </items>
    </pivotField>
    <pivotField compact="0" outline="0" showAll="0"/>
    <pivotField compact="0" numFmtId="9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h="1" x="2"/>
        <item h="1" x="6"/>
        <item h="1" x="3"/>
        <item h="1" x="8"/>
        <item h="1" x="9"/>
        <item h="1" x="5"/>
        <item h="1" x="4"/>
        <item x="7"/>
        <item h="1" x="1"/>
        <item h="1" x="0"/>
        <item h="1" x="10"/>
        <item h="1" x="11"/>
        <item t="default"/>
      </items>
    </pivotField>
    <pivotField compact="0" outline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DCE2C-B00A-43C5-8F81-D6DBBD54B8F9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 chartFormat="18">
  <location ref="J46:K52" firstHeaderRow="1" firstDataRow="1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  <pivotField compact="0" numFmtId="9" outline="0" showAll="0"/>
    <pivotField compact="0" outline="0" showAll="0"/>
    <pivotField compact="0" outline="0" showAll="0">
      <items count="13">
        <item h="1" x="2"/>
        <item h="1" x="6"/>
        <item h="1" x="3"/>
        <item h="1" x="8"/>
        <item h="1" x="9"/>
        <item h="1" x="5"/>
        <item h="1" x="4"/>
        <item x="7"/>
        <item h="1" x="1"/>
        <item h="1" x="0"/>
        <item h="1" x="10"/>
        <item h="1" x="11"/>
        <item t="default"/>
      </items>
    </pivotField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6" baseField="0" baseItem="0" numFmtId="1"/>
  </dataFields>
  <formats count="4">
    <format dxfId="25">
      <pivotArea outline="0" fieldPosition="0">
        <references count="1">
          <reference field="11" count="1" selected="0">
            <x v="0"/>
          </reference>
        </references>
      </pivotArea>
    </format>
    <format dxfId="24">
      <pivotArea field="11" type="button" dataOnly="0" labelOnly="1" outline="0" axis="axisRow" fieldPosition="0"/>
    </format>
    <format dxfId="23">
      <pivotArea dataOnly="0" labelOnly="1" outline="0" fieldPosition="0">
        <references count="1">
          <reference field="11" count="1">
            <x v="0"/>
          </reference>
        </references>
      </pivotArea>
    </format>
    <format dxfId="22">
      <pivotArea dataOnly="0" labelOnly="1" outline="0" axis="axisValues" fieldPosition="0"/>
    </format>
  </formats>
  <chartFormats count="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836B-DABD-4966-8327-2CF1C9E838D4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 chartFormat="4">
  <location ref="B63:E68" firstHeaderRow="1" firstDataRow="2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>
      <items count="13">
        <item h="1" x="2"/>
        <item h="1" x="6"/>
        <item h="1" x="3"/>
        <item h="1" x="8"/>
        <item h="1" x="9"/>
        <item h="1" x="5"/>
        <item h="1" x="4"/>
        <item x="7"/>
        <item h="1" x="1"/>
        <item h="1" x="0"/>
        <item h="1" x="10"/>
        <item h="1" x="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_Sales" fld="6" baseField="0" baseItem="0" numFmtId="1"/>
  </dataFields>
  <chartFormats count="1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2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s" xr10:uid="{552B00FE-2F9F-4CDC-B0DB-65C69F0C6247}" sourceName="Months">
  <pivotTables>
    <pivotTable tabId="2" name="PivotTable8"/>
    <pivotTable tabId="2" name="PivotTable2"/>
    <pivotTable tabId="2" name="PivotTable5"/>
    <pivotTable tabId="2" name="PivotTable6"/>
    <pivotTable tabId="2" name="PivotTable4"/>
    <pivotTable tabId="2" name="PivotTable3"/>
  </pivotTables>
  <data>
    <tabular pivotCacheId="1254171335">
      <items count="12">
        <i x="2"/>
        <i x="6"/>
        <i x="3"/>
        <i x="8"/>
        <i x="9"/>
        <i x="5"/>
        <i x="4"/>
        <i x="7" s="1"/>
        <i x="1"/>
        <i x="0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s" xr10:uid="{EC05C585-D7CA-4BC8-AE7E-B644014FB99D}" cache="Slicer_Months" caption="Months" showCaption="0" rowHeight="2667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0621-D637-45D2-85C8-57101251FD97}">
  <dimension ref="A1:Q1000"/>
  <sheetViews>
    <sheetView workbookViewId="0">
      <selection sqref="A1:P1000"/>
    </sheetView>
  </sheetViews>
  <sheetFormatPr defaultRowHeight="15" x14ac:dyDescent="0.25"/>
  <cols>
    <col min="2" max="2" width="10.85546875" style="1" bestFit="1" customWidth="1"/>
    <col min="3" max="3" width="16.5703125" bestFit="1" customWidth="1"/>
    <col min="4" max="4" width="17.7109375" bestFit="1" customWidth="1"/>
    <col min="5" max="5" width="11" style="3" bestFit="1" customWidth="1"/>
    <col min="6" max="6" width="13.28515625" style="3" bestFit="1" customWidth="1"/>
    <col min="7" max="7" width="10.7109375" style="3" bestFit="1" customWidth="1"/>
    <col min="8" max="8" width="13.7109375" style="3" bestFit="1" customWidth="1"/>
    <col min="9" max="9" width="16.85546875" bestFit="1" customWidth="1"/>
    <col min="10" max="10" width="17.85546875" bestFit="1" customWidth="1"/>
    <col min="11" max="11" width="18" bestFit="1" customWidth="1"/>
    <col min="13" max="13" width="9.140625" style="2"/>
    <col min="16" max="16" width="12.140625" bestFit="1" customWidth="1"/>
  </cols>
  <sheetData>
    <row r="1" spans="1:17" x14ac:dyDescent="0.25">
      <c r="A1" t="s">
        <v>0</v>
      </c>
      <c r="B1" s="1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</row>
    <row r="2" spans="1:17" ht="14.25" customHeight="1" x14ac:dyDescent="0.25">
      <c r="A2">
        <v>1001</v>
      </c>
      <c r="B2" s="1">
        <v>44853</v>
      </c>
      <c r="C2" t="s">
        <v>16</v>
      </c>
      <c r="D2" t="s">
        <v>17</v>
      </c>
      <c r="E2" s="3">
        <v>300</v>
      </c>
      <c r="F2" s="3">
        <v>1</v>
      </c>
      <c r="G2" s="3">
        <v>2000</v>
      </c>
      <c r="H2" s="3">
        <v>25</v>
      </c>
      <c r="I2" t="s">
        <v>18</v>
      </c>
      <c r="J2" t="s">
        <v>19</v>
      </c>
      <c r="K2" t="s">
        <v>20</v>
      </c>
      <c r="L2" t="s">
        <v>21</v>
      </c>
      <c r="M2" s="2">
        <v>0.1</v>
      </c>
      <c r="N2" t="s">
        <v>22</v>
      </c>
      <c r="O2" t="str">
        <f>TEXT(B2, "MMMM")</f>
        <v>October</v>
      </c>
      <c r="P2" t="s">
        <v>23</v>
      </c>
      <c r="Q2" s="5"/>
    </row>
    <row r="3" spans="1:17" x14ac:dyDescent="0.25">
      <c r="A3">
        <v>1002</v>
      </c>
      <c r="B3" s="1">
        <v>45187</v>
      </c>
      <c r="C3" t="s">
        <v>24</v>
      </c>
      <c r="D3" t="s">
        <v>25</v>
      </c>
      <c r="E3" s="3">
        <v>940</v>
      </c>
      <c r="F3" s="3">
        <v>4</v>
      </c>
      <c r="G3" s="3">
        <v>3760</v>
      </c>
      <c r="H3" s="3">
        <v>20</v>
      </c>
      <c r="I3" t="s">
        <v>18</v>
      </c>
      <c r="J3" t="s">
        <v>26</v>
      </c>
      <c r="K3" t="s">
        <v>27</v>
      </c>
      <c r="L3" t="s">
        <v>28</v>
      </c>
      <c r="M3" s="2">
        <v>0.25</v>
      </c>
      <c r="N3" t="s">
        <v>29</v>
      </c>
      <c r="O3" t="str">
        <f t="shared" ref="O3:O66" si="0">TEXT(B3, "MMMM")</f>
        <v>September</v>
      </c>
      <c r="P3" t="str">
        <f t="shared" ref="P3:P65" si="1">IF(H3&lt;13, "Child", IF(H3&lt;18, "Teen", IF(H3&lt;30, "Young Adult", IF(H3&lt;50, "Adult", IF(H3&lt;65, "Middle-Aged", "Senior")))))</f>
        <v>Young Adult</v>
      </c>
    </row>
    <row r="4" spans="1:17" x14ac:dyDescent="0.25">
      <c r="A4">
        <v>1003</v>
      </c>
      <c r="B4" s="1">
        <v>45313</v>
      </c>
      <c r="C4" t="s">
        <v>30</v>
      </c>
      <c r="D4" t="s">
        <v>31</v>
      </c>
      <c r="E4" s="3">
        <v>1327</v>
      </c>
      <c r="F4" s="3">
        <v>5</v>
      </c>
      <c r="G4" s="3">
        <v>6635</v>
      </c>
      <c r="H4" s="3">
        <v>44</v>
      </c>
      <c r="I4" t="s">
        <v>32</v>
      </c>
      <c r="J4" t="s">
        <v>26</v>
      </c>
      <c r="K4" t="s">
        <v>33</v>
      </c>
      <c r="L4" t="s">
        <v>34</v>
      </c>
      <c r="M4" s="2">
        <v>0.2</v>
      </c>
      <c r="N4" t="s">
        <v>29</v>
      </c>
      <c r="O4" t="str">
        <f t="shared" si="0"/>
        <v>January</v>
      </c>
      <c r="P4" t="str">
        <f t="shared" si="1"/>
        <v>Adult</v>
      </c>
    </row>
    <row r="5" spans="1:17" x14ac:dyDescent="0.25">
      <c r="A5">
        <v>1004</v>
      </c>
      <c r="B5" s="1">
        <v>45296</v>
      </c>
      <c r="C5" t="s">
        <v>35</v>
      </c>
      <c r="D5" t="s">
        <v>36</v>
      </c>
      <c r="E5" s="3">
        <v>834</v>
      </c>
      <c r="F5" s="3">
        <v>3</v>
      </c>
      <c r="G5" s="3">
        <v>2502</v>
      </c>
      <c r="H5" s="3">
        <v>51</v>
      </c>
      <c r="I5" t="s">
        <v>18</v>
      </c>
      <c r="J5" t="s">
        <v>26</v>
      </c>
      <c r="K5" t="s">
        <v>37</v>
      </c>
      <c r="L5" t="s">
        <v>38</v>
      </c>
      <c r="M5" s="2">
        <v>0.05</v>
      </c>
      <c r="N5" t="s">
        <v>29</v>
      </c>
      <c r="O5" t="str">
        <f t="shared" si="0"/>
        <v>January</v>
      </c>
      <c r="P5" t="str">
        <f t="shared" si="1"/>
        <v>Middle-Aged</v>
      </c>
    </row>
    <row r="6" spans="1:17" x14ac:dyDescent="0.25">
      <c r="A6">
        <v>1005</v>
      </c>
      <c r="B6" s="1">
        <v>45207</v>
      </c>
      <c r="C6" t="s">
        <v>39</v>
      </c>
      <c r="D6" t="s">
        <v>40</v>
      </c>
      <c r="E6" s="3">
        <v>962</v>
      </c>
      <c r="F6" s="3">
        <v>1</v>
      </c>
      <c r="G6" s="3">
        <v>962</v>
      </c>
      <c r="H6" s="3">
        <v>36</v>
      </c>
      <c r="I6" t="s">
        <v>32</v>
      </c>
      <c r="J6" t="s">
        <v>41</v>
      </c>
      <c r="K6" t="s">
        <v>42</v>
      </c>
      <c r="L6" t="s">
        <v>21</v>
      </c>
      <c r="M6" s="2">
        <v>0.2</v>
      </c>
      <c r="N6" t="s">
        <v>29</v>
      </c>
      <c r="O6" t="str">
        <f t="shared" si="0"/>
        <v>October</v>
      </c>
      <c r="P6" t="str">
        <f t="shared" si="1"/>
        <v>Adult</v>
      </c>
    </row>
    <row r="7" spans="1:17" x14ac:dyDescent="0.25">
      <c r="A7">
        <v>1006</v>
      </c>
      <c r="B7" s="1">
        <v>45010</v>
      </c>
      <c r="C7" t="s">
        <v>35</v>
      </c>
      <c r="D7" t="s">
        <v>36</v>
      </c>
      <c r="E7" s="3">
        <v>499</v>
      </c>
      <c r="F7" s="3">
        <v>5</v>
      </c>
      <c r="G7" s="3">
        <v>2495</v>
      </c>
      <c r="H7" s="3">
        <v>44</v>
      </c>
      <c r="I7" t="s">
        <v>32</v>
      </c>
      <c r="J7" t="s">
        <v>43</v>
      </c>
      <c r="K7" t="s">
        <v>27</v>
      </c>
      <c r="L7" t="s">
        <v>34</v>
      </c>
      <c r="M7" s="2">
        <v>0.05</v>
      </c>
      <c r="N7" t="s">
        <v>29</v>
      </c>
      <c r="O7" t="str">
        <f t="shared" si="0"/>
        <v>March</v>
      </c>
      <c r="P7" t="str">
        <f t="shared" si="1"/>
        <v>Adult</v>
      </c>
    </row>
    <row r="8" spans="1:17" x14ac:dyDescent="0.25">
      <c r="A8">
        <v>1007</v>
      </c>
      <c r="B8" s="1">
        <v>45129</v>
      </c>
      <c r="C8" t="s">
        <v>30</v>
      </c>
      <c r="D8" t="s">
        <v>44</v>
      </c>
      <c r="E8" s="3">
        <v>1070</v>
      </c>
      <c r="F8" s="3">
        <v>2</v>
      </c>
      <c r="G8" s="3">
        <v>2140</v>
      </c>
      <c r="H8" s="3">
        <v>53</v>
      </c>
      <c r="I8" t="s">
        <v>18</v>
      </c>
      <c r="J8" t="s">
        <v>43</v>
      </c>
      <c r="K8" t="s">
        <v>45</v>
      </c>
      <c r="L8" t="s">
        <v>34</v>
      </c>
      <c r="M8" s="2">
        <v>0.15</v>
      </c>
      <c r="N8" t="s">
        <v>29</v>
      </c>
      <c r="O8" t="str">
        <f t="shared" si="0"/>
        <v>July</v>
      </c>
      <c r="P8" t="str">
        <f t="shared" si="1"/>
        <v>Middle-Aged</v>
      </c>
    </row>
    <row r="9" spans="1:17" x14ac:dyDescent="0.25">
      <c r="A9">
        <v>1008</v>
      </c>
      <c r="B9" s="1">
        <v>45212</v>
      </c>
      <c r="C9" t="s">
        <v>39</v>
      </c>
      <c r="D9" t="s">
        <v>46</v>
      </c>
      <c r="E9" s="3">
        <v>34</v>
      </c>
      <c r="F9" s="3">
        <v>4</v>
      </c>
      <c r="G9" s="3">
        <v>136</v>
      </c>
      <c r="H9" s="3">
        <v>36</v>
      </c>
      <c r="I9" t="s">
        <v>32</v>
      </c>
      <c r="J9" t="s">
        <v>19</v>
      </c>
      <c r="K9" t="s">
        <v>27</v>
      </c>
      <c r="L9" t="s">
        <v>38</v>
      </c>
      <c r="M9" s="2">
        <v>0.25</v>
      </c>
      <c r="N9" t="s">
        <v>29</v>
      </c>
      <c r="O9" t="str">
        <f t="shared" si="0"/>
        <v>October</v>
      </c>
      <c r="P9" t="str">
        <f t="shared" si="1"/>
        <v>Adult</v>
      </c>
    </row>
    <row r="10" spans="1:17" x14ac:dyDescent="0.25">
      <c r="A10">
        <v>1009</v>
      </c>
      <c r="B10" s="1">
        <v>44988</v>
      </c>
      <c r="C10" t="s">
        <v>24</v>
      </c>
      <c r="D10" t="s">
        <v>25</v>
      </c>
      <c r="E10" s="3">
        <v>594</v>
      </c>
      <c r="F10" s="3">
        <v>5</v>
      </c>
      <c r="G10" s="3">
        <v>2970</v>
      </c>
      <c r="H10" s="3">
        <v>50</v>
      </c>
      <c r="I10" t="s">
        <v>32</v>
      </c>
      <c r="J10" t="s">
        <v>43</v>
      </c>
      <c r="K10" t="s">
        <v>33</v>
      </c>
      <c r="L10" t="s">
        <v>47</v>
      </c>
      <c r="M10" s="2">
        <v>0.05</v>
      </c>
      <c r="N10" t="s">
        <v>29</v>
      </c>
      <c r="O10" t="str">
        <f t="shared" si="0"/>
        <v>March</v>
      </c>
      <c r="P10" t="str">
        <f t="shared" si="1"/>
        <v>Middle-Aged</v>
      </c>
    </row>
    <row r="11" spans="1:17" x14ac:dyDescent="0.25">
      <c r="A11">
        <v>1010</v>
      </c>
      <c r="B11" s="1">
        <v>45210</v>
      </c>
      <c r="C11" t="s">
        <v>30</v>
      </c>
      <c r="D11" t="s">
        <v>44</v>
      </c>
      <c r="E11" s="3">
        <v>317</v>
      </c>
      <c r="F11" s="3">
        <v>2</v>
      </c>
      <c r="G11" s="3">
        <v>634</v>
      </c>
      <c r="H11" s="3">
        <v>53</v>
      </c>
      <c r="I11" t="s">
        <v>18</v>
      </c>
      <c r="J11" t="s">
        <v>48</v>
      </c>
      <c r="K11" t="s">
        <v>27</v>
      </c>
      <c r="L11" t="s">
        <v>38</v>
      </c>
      <c r="M11" s="2">
        <v>0.2</v>
      </c>
      <c r="N11" t="s">
        <v>22</v>
      </c>
      <c r="O11" t="str">
        <f t="shared" si="0"/>
        <v>October</v>
      </c>
      <c r="P11" t="str">
        <f t="shared" si="1"/>
        <v>Middle-Aged</v>
      </c>
    </row>
    <row r="12" spans="1:17" x14ac:dyDescent="0.25">
      <c r="A12">
        <v>1011</v>
      </c>
      <c r="B12" s="1">
        <v>45097</v>
      </c>
      <c r="C12" t="s">
        <v>49</v>
      </c>
      <c r="D12" t="s">
        <v>50</v>
      </c>
      <c r="E12" s="3">
        <v>1233</v>
      </c>
      <c r="F12" s="3">
        <v>1</v>
      </c>
      <c r="G12" s="3">
        <v>1233</v>
      </c>
      <c r="H12" s="3">
        <v>50</v>
      </c>
      <c r="I12" t="s">
        <v>32</v>
      </c>
      <c r="J12" t="s">
        <v>51</v>
      </c>
      <c r="K12" t="s">
        <v>37</v>
      </c>
      <c r="L12" t="s">
        <v>34</v>
      </c>
      <c r="M12" s="2">
        <v>0.2</v>
      </c>
      <c r="N12" t="s">
        <v>29</v>
      </c>
      <c r="O12" t="str">
        <f t="shared" si="0"/>
        <v>June</v>
      </c>
      <c r="P12" t="str">
        <f t="shared" si="1"/>
        <v>Middle-Aged</v>
      </c>
    </row>
    <row r="13" spans="1:17" x14ac:dyDescent="0.25">
      <c r="A13">
        <v>1012</v>
      </c>
      <c r="B13" s="1">
        <v>44937</v>
      </c>
      <c r="C13" t="s">
        <v>52</v>
      </c>
      <c r="D13" t="s">
        <v>53</v>
      </c>
      <c r="E13" s="3">
        <v>254</v>
      </c>
      <c r="F13" s="3">
        <v>1</v>
      </c>
      <c r="G13" s="3">
        <v>254</v>
      </c>
      <c r="H13" s="3">
        <v>39</v>
      </c>
      <c r="I13" t="s">
        <v>18</v>
      </c>
      <c r="J13" t="s">
        <v>48</v>
      </c>
      <c r="K13" t="s">
        <v>20</v>
      </c>
      <c r="L13" t="s">
        <v>47</v>
      </c>
      <c r="M13" s="2">
        <v>0.3</v>
      </c>
      <c r="N13" t="s">
        <v>29</v>
      </c>
      <c r="O13" t="str">
        <f t="shared" si="0"/>
        <v>January</v>
      </c>
      <c r="P13" t="str">
        <f t="shared" si="1"/>
        <v>Adult</v>
      </c>
    </row>
    <row r="14" spans="1:17" x14ac:dyDescent="0.25">
      <c r="A14">
        <v>1013</v>
      </c>
      <c r="B14" s="1">
        <v>45185</v>
      </c>
      <c r="C14" t="s">
        <v>24</v>
      </c>
      <c r="D14" t="s">
        <v>54</v>
      </c>
      <c r="E14" s="3">
        <v>1357</v>
      </c>
      <c r="F14" s="3">
        <v>2</v>
      </c>
      <c r="G14" s="3">
        <v>2714</v>
      </c>
      <c r="H14" s="3">
        <v>27</v>
      </c>
      <c r="I14" t="s">
        <v>18</v>
      </c>
      <c r="J14" t="s">
        <v>55</v>
      </c>
      <c r="K14" t="s">
        <v>27</v>
      </c>
      <c r="L14" t="s">
        <v>47</v>
      </c>
      <c r="M14" s="2">
        <v>0.1</v>
      </c>
      <c r="N14" t="s">
        <v>29</v>
      </c>
      <c r="O14" t="str">
        <f t="shared" si="0"/>
        <v>September</v>
      </c>
      <c r="P14" t="str">
        <f t="shared" si="1"/>
        <v>Young Adult</v>
      </c>
    </row>
    <row r="15" spans="1:17" x14ac:dyDescent="0.25">
      <c r="A15">
        <v>1014</v>
      </c>
      <c r="B15" s="1">
        <v>45109</v>
      </c>
      <c r="C15" t="s">
        <v>16</v>
      </c>
      <c r="D15" t="s">
        <v>56</v>
      </c>
      <c r="E15" s="3">
        <v>719</v>
      </c>
      <c r="F15" s="3">
        <v>3</v>
      </c>
      <c r="G15" s="3">
        <v>2157</v>
      </c>
      <c r="H15" s="3">
        <v>38</v>
      </c>
      <c r="I15" t="s">
        <v>18</v>
      </c>
      <c r="J15" t="s">
        <v>19</v>
      </c>
      <c r="K15" t="s">
        <v>27</v>
      </c>
      <c r="L15" t="s">
        <v>34</v>
      </c>
      <c r="M15" s="2">
        <v>0.1</v>
      </c>
      <c r="N15" t="s">
        <v>29</v>
      </c>
      <c r="O15" t="str">
        <f t="shared" si="0"/>
        <v>July</v>
      </c>
      <c r="P15" t="str">
        <f t="shared" si="1"/>
        <v>Adult</v>
      </c>
    </row>
    <row r="16" spans="1:17" x14ac:dyDescent="0.25">
      <c r="A16">
        <v>1015</v>
      </c>
      <c r="B16" s="1">
        <v>45200</v>
      </c>
      <c r="C16" t="s">
        <v>49</v>
      </c>
      <c r="D16" t="s">
        <v>57</v>
      </c>
      <c r="E16" s="3">
        <v>1476</v>
      </c>
      <c r="F16" s="3">
        <v>3</v>
      </c>
      <c r="G16" s="3">
        <v>4428</v>
      </c>
      <c r="H16" s="3">
        <v>41</v>
      </c>
      <c r="I16" t="s">
        <v>18</v>
      </c>
      <c r="J16" t="s">
        <v>58</v>
      </c>
      <c r="K16" t="s">
        <v>37</v>
      </c>
      <c r="L16" t="s">
        <v>21</v>
      </c>
      <c r="M16" s="2">
        <v>0.2</v>
      </c>
      <c r="N16" t="s">
        <v>22</v>
      </c>
      <c r="O16" t="str">
        <f t="shared" si="0"/>
        <v>October</v>
      </c>
      <c r="P16" t="str">
        <f t="shared" si="1"/>
        <v>Adult</v>
      </c>
    </row>
    <row r="17" spans="1:16" x14ac:dyDescent="0.25">
      <c r="A17">
        <v>1016</v>
      </c>
      <c r="B17" s="1">
        <v>44981</v>
      </c>
      <c r="C17" t="s">
        <v>16</v>
      </c>
      <c r="D17" t="s">
        <v>59</v>
      </c>
      <c r="E17" s="3">
        <v>387</v>
      </c>
      <c r="F17" s="3">
        <v>2</v>
      </c>
      <c r="G17" s="3">
        <v>774</v>
      </c>
      <c r="H17" s="3">
        <v>32</v>
      </c>
      <c r="I17" t="s">
        <v>18</v>
      </c>
      <c r="J17" t="s">
        <v>48</v>
      </c>
      <c r="K17" t="s">
        <v>20</v>
      </c>
      <c r="L17" t="s">
        <v>21</v>
      </c>
      <c r="M17" s="2">
        <v>0.05</v>
      </c>
      <c r="N17" t="s">
        <v>29</v>
      </c>
      <c r="O17" t="str">
        <f t="shared" si="0"/>
        <v>February</v>
      </c>
      <c r="P17" t="str">
        <f t="shared" si="1"/>
        <v>Adult</v>
      </c>
    </row>
    <row r="18" spans="1:16" x14ac:dyDescent="0.25">
      <c r="A18">
        <v>1017</v>
      </c>
      <c r="B18" s="1">
        <v>45080</v>
      </c>
      <c r="C18" t="s">
        <v>39</v>
      </c>
      <c r="D18" t="s">
        <v>40</v>
      </c>
      <c r="E18" s="3">
        <v>1456</v>
      </c>
      <c r="F18" s="3">
        <v>5</v>
      </c>
      <c r="G18" s="3">
        <v>7280</v>
      </c>
      <c r="H18" s="3">
        <v>60</v>
      </c>
      <c r="I18" t="s">
        <v>32</v>
      </c>
      <c r="J18" t="s">
        <v>60</v>
      </c>
      <c r="K18" t="s">
        <v>42</v>
      </c>
      <c r="L18" t="s">
        <v>34</v>
      </c>
      <c r="M18" s="2">
        <v>0.1</v>
      </c>
      <c r="N18" t="s">
        <v>22</v>
      </c>
      <c r="O18" t="str">
        <f t="shared" si="0"/>
        <v>June</v>
      </c>
      <c r="P18" t="str">
        <f t="shared" si="1"/>
        <v>Middle-Aged</v>
      </c>
    </row>
    <row r="19" spans="1:16" x14ac:dyDescent="0.25">
      <c r="A19">
        <v>1018</v>
      </c>
      <c r="B19" s="1">
        <v>45149</v>
      </c>
      <c r="C19" t="s">
        <v>52</v>
      </c>
      <c r="D19" t="s">
        <v>53</v>
      </c>
      <c r="E19" s="3">
        <v>1063</v>
      </c>
      <c r="F19" s="3">
        <v>5</v>
      </c>
      <c r="G19" s="3">
        <v>5315</v>
      </c>
      <c r="H19" s="3">
        <v>55</v>
      </c>
      <c r="I19" t="s">
        <v>32</v>
      </c>
      <c r="J19" t="s">
        <v>41</v>
      </c>
      <c r="K19" t="s">
        <v>45</v>
      </c>
      <c r="L19" t="s">
        <v>28</v>
      </c>
      <c r="M19" s="2">
        <v>0.3</v>
      </c>
      <c r="N19" t="s">
        <v>22</v>
      </c>
      <c r="O19" t="str">
        <f t="shared" si="0"/>
        <v>August</v>
      </c>
      <c r="P19" t="str">
        <f t="shared" si="1"/>
        <v>Middle-Aged</v>
      </c>
    </row>
    <row r="20" spans="1:16" x14ac:dyDescent="0.25">
      <c r="A20">
        <v>1019</v>
      </c>
      <c r="B20" s="1">
        <v>44990</v>
      </c>
      <c r="C20" t="s">
        <v>39</v>
      </c>
      <c r="D20" t="s">
        <v>61</v>
      </c>
      <c r="E20" s="3">
        <v>485</v>
      </c>
      <c r="F20" s="3">
        <v>3</v>
      </c>
      <c r="G20" s="3">
        <v>1455</v>
      </c>
      <c r="H20" s="3">
        <v>55</v>
      </c>
      <c r="I20" t="s">
        <v>18</v>
      </c>
      <c r="J20" t="s">
        <v>55</v>
      </c>
      <c r="K20" t="s">
        <v>37</v>
      </c>
      <c r="L20" t="s">
        <v>38</v>
      </c>
      <c r="M20" s="2">
        <v>0.1</v>
      </c>
      <c r="N20" t="s">
        <v>22</v>
      </c>
      <c r="O20" t="str">
        <f t="shared" si="0"/>
        <v>March</v>
      </c>
      <c r="P20" t="str">
        <f t="shared" si="1"/>
        <v>Middle-Aged</v>
      </c>
    </row>
    <row r="21" spans="1:16" x14ac:dyDescent="0.25">
      <c r="A21">
        <v>1020</v>
      </c>
      <c r="B21" s="1">
        <v>44976</v>
      </c>
      <c r="C21" t="s">
        <v>30</v>
      </c>
      <c r="D21" t="s">
        <v>31</v>
      </c>
      <c r="E21" s="3">
        <v>853</v>
      </c>
      <c r="F21" s="3">
        <v>5</v>
      </c>
      <c r="G21" s="3">
        <v>4265</v>
      </c>
      <c r="H21" s="3">
        <v>44</v>
      </c>
      <c r="I21" t="s">
        <v>32</v>
      </c>
      <c r="J21" t="s">
        <v>55</v>
      </c>
      <c r="K21" t="s">
        <v>45</v>
      </c>
      <c r="L21" t="s">
        <v>21</v>
      </c>
      <c r="M21" s="2">
        <v>0.2</v>
      </c>
      <c r="N21" t="s">
        <v>22</v>
      </c>
      <c r="O21" t="str">
        <f t="shared" si="0"/>
        <v>February</v>
      </c>
      <c r="P21" t="str">
        <f t="shared" si="1"/>
        <v>Adult</v>
      </c>
    </row>
    <row r="22" spans="1:16" x14ac:dyDescent="0.25">
      <c r="A22">
        <v>1021</v>
      </c>
      <c r="B22" s="1">
        <v>45216</v>
      </c>
      <c r="C22" t="s">
        <v>39</v>
      </c>
      <c r="D22" t="s">
        <v>40</v>
      </c>
      <c r="E22" s="3">
        <v>819</v>
      </c>
      <c r="F22" s="3">
        <v>1</v>
      </c>
      <c r="G22" s="3">
        <v>819</v>
      </c>
      <c r="H22" s="3">
        <v>30</v>
      </c>
      <c r="I22" t="s">
        <v>18</v>
      </c>
      <c r="J22" t="s">
        <v>58</v>
      </c>
      <c r="K22" t="s">
        <v>27</v>
      </c>
      <c r="L22" t="s">
        <v>38</v>
      </c>
      <c r="M22" s="2">
        <v>0.25</v>
      </c>
      <c r="N22" t="s">
        <v>22</v>
      </c>
      <c r="O22" t="str">
        <f t="shared" si="0"/>
        <v>October</v>
      </c>
      <c r="P22" t="str">
        <f t="shared" si="1"/>
        <v>Adult</v>
      </c>
    </row>
    <row r="23" spans="1:16" x14ac:dyDescent="0.25">
      <c r="A23">
        <v>1022</v>
      </c>
      <c r="B23" s="1">
        <v>45012</v>
      </c>
      <c r="C23" t="s">
        <v>16</v>
      </c>
      <c r="D23" t="s">
        <v>62</v>
      </c>
      <c r="E23" s="3">
        <v>20</v>
      </c>
      <c r="F23" s="3">
        <v>1</v>
      </c>
      <c r="G23" s="3">
        <v>20</v>
      </c>
      <c r="H23" s="3">
        <v>34</v>
      </c>
      <c r="I23" t="s">
        <v>18</v>
      </c>
      <c r="J23" t="s">
        <v>63</v>
      </c>
      <c r="K23" t="s">
        <v>27</v>
      </c>
      <c r="L23" t="s">
        <v>34</v>
      </c>
      <c r="M23" s="2">
        <v>0.2</v>
      </c>
      <c r="N23" t="s">
        <v>29</v>
      </c>
      <c r="O23" t="str">
        <f t="shared" si="0"/>
        <v>March</v>
      </c>
      <c r="P23" t="str">
        <f t="shared" si="1"/>
        <v>Adult</v>
      </c>
    </row>
    <row r="24" spans="1:16" x14ac:dyDescent="0.25">
      <c r="A24">
        <v>1023</v>
      </c>
      <c r="B24" s="1">
        <v>45167</v>
      </c>
      <c r="C24" t="s">
        <v>49</v>
      </c>
      <c r="D24" t="s">
        <v>64</v>
      </c>
      <c r="E24" s="3">
        <v>510</v>
      </c>
      <c r="F24" s="3">
        <v>4</v>
      </c>
      <c r="G24" s="3">
        <v>2040</v>
      </c>
      <c r="H24" s="3">
        <v>27</v>
      </c>
      <c r="I24" t="s">
        <v>18</v>
      </c>
      <c r="J24" t="s">
        <v>60</v>
      </c>
      <c r="K24" t="s">
        <v>27</v>
      </c>
      <c r="L24" t="s">
        <v>21</v>
      </c>
      <c r="M24" s="2">
        <v>0.25</v>
      </c>
      <c r="N24" t="s">
        <v>29</v>
      </c>
      <c r="O24" t="str">
        <f t="shared" si="0"/>
        <v>August</v>
      </c>
      <c r="P24" t="str">
        <f t="shared" si="1"/>
        <v>Young Adult</v>
      </c>
    </row>
    <row r="25" spans="1:16" x14ac:dyDescent="0.25">
      <c r="A25">
        <v>1024</v>
      </c>
      <c r="B25" s="1">
        <v>45026</v>
      </c>
      <c r="C25" t="s">
        <v>49</v>
      </c>
      <c r="D25" t="s">
        <v>64</v>
      </c>
      <c r="E25" s="3">
        <v>26</v>
      </c>
      <c r="F25" s="3">
        <v>3</v>
      </c>
      <c r="G25" s="3">
        <v>78</v>
      </c>
      <c r="H25" s="3">
        <v>27</v>
      </c>
      <c r="I25" t="s">
        <v>32</v>
      </c>
      <c r="J25" t="s">
        <v>60</v>
      </c>
      <c r="K25" t="s">
        <v>20</v>
      </c>
      <c r="L25" t="s">
        <v>34</v>
      </c>
      <c r="M25" s="2">
        <v>0.15</v>
      </c>
      <c r="N25" t="s">
        <v>22</v>
      </c>
      <c r="O25" t="str">
        <f t="shared" si="0"/>
        <v>April</v>
      </c>
      <c r="P25" t="str">
        <f t="shared" si="1"/>
        <v>Young Adult</v>
      </c>
    </row>
    <row r="26" spans="1:16" x14ac:dyDescent="0.25">
      <c r="A26">
        <v>1025</v>
      </c>
      <c r="B26" s="1">
        <v>45178</v>
      </c>
      <c r="C26" t="s">
        <v>16</v>
      </c>
      <c r="D26" t="s">
        <v>56</v>
      </c>
      <c r="E26" s="3">
        <v>831</v>
      </c>
      <c r="F26" s="3">
        <v>3</v>
      </c>
      <c r="G26" s="3">
        <v>2493</v>
      </c>
      <c r="H26" s="3">
        <v>32</v>
      </c>
      <c r="I26" t="s">
        <v>18</v>
      </c>
      <c r="J26" t="s">
        <v>51</v>
      </c>
      <c r="K26" t="s">
        <v>33</v>
      </c>
      <c r="L26" t="s">
        <v>28</v>
      </c>
      <c r="M26" s="2">
        <v>0.3</v>
      </c>
      <c r="N26" t="s">
        <v>22</v>
      </c>
      <c r="O26" t="str">
        <f t="shared" si="0"/>
        <v>September</v>
      </c>
      <c r="P26" t="str">
        <f t="shared" si="1"/>
        <v>Adult</v>
      </c>
    </row>
    <row r="27" spans="1:16" x14ac:dyDescent="0.25">
      <c r="A27">
        <v>1026</v>
      </c>
      <c r="B27" s="1">
        <v>45199</v>
      </c>
      <c r="C27" t="s">
        <v>52</v>
      </c>
      <c r="D27" t="s">
        <v>65</v>
      </c>
      <c r="E27" s="3">
        <v>302</v>
      </c>
      <c r="F27" s="3">
        <v>4</v>
      </c>
      <c r="G27" s="3">
        <v>1208</v>
      </c>
      <c r="H27" s="3">
        <v>39</v>
      </c>
      <c r="I27" t="s">
        <v>32</v>
      </c>
      <c r="J27" t="s">
        <v>48</v>
      </c>
      <c r="K27" t="s">
        <v>45</v>
      </c>
      <c r="L27" t="s">
        <v>47</v>
      </c>
      <c r="M27" s="2">
        <v>0.1</v>
      </c>
      <c r="N27" t="s">
        <v>29</v>
      </c>
      <c r="O27" t="str">
        <f t="shared" si="0"/>
        <v>September</v>
      </c>
      <c r="P27" t="str">
        <f t="shared" si="1"/>
        <v>Adult</v>
      </c>
    </row>
    <row r="28" spans="1:16" x14ac:dyDescent="0.25">
      <c r="A28">
        <v>1027</v>
      </c>
      <c r="B28" s="1">
        <v>45003</v>
      </c>
      <c r="C28" t="s">
        <v>49</v>
      </c>
      <c r="D28" t="s">
        <v>66</v>
      </c>
      <c r="E28" s="3">
        <v>656</v>
      </c>
      <c r="F28" s="3">
        <v>5</v>
      </c>
      <c r="G28" s="3">
        <v>3280</v>
      </c>
      <c r="H28" s="3">
        <v>20</v>
      </c>
      <c r="I28" t="s">
        <v>32</v>
      </c>
      <c r="J28" t="s">
        <v>60</v>
      </c>
      <c r="K28" t="s">
        <v>42</v>
      </c>
      <c r="L28" t="s">
        <v>47</v>
      </c>
      <c r="M28" s="2">
        <v>0.2</v>
      </c>
      <c r="N28" t="s">
        <v>29</v>
      </c>
      <c r="O28" t="str">
        <f t="shared" si="0"/>
        <v>March</v>
      </c>
      <c r="P28" t="str">
        <f t="shared" si="1"/>
        <v>Young Adult</v>
      </c>
    </row>
    <row r="29" spans="1:16" x14ac:dyDescent="0.25">
      <c r="A29">
        <v>1028</v>
      </c>
      <c r="B29" s="1">
        <v>45052</v>
      </c>
      <c r="C29" t="s">
        <v>52</v>
      </c>
      <c r="D29" t="s">
        <v>67</v>
      </c>
      <c r="E29" s="3">
        <v>399</v>
      </c>
      <c r="F29" s="3">
        <v>3</v>
      </c>
      <c r="G29" s="3">
        <v>1197</v>
      </c>
      <c r="H29" s="3">
        <v>58</v>
      </c>
      <c r="I29" t="s">
        <v>32</v>
      </c>
      <c r="J29" t="s">
        <v>63</v>
      </c>
      <c r="K29" t="s">
        <v>27</v>
      </c>
      <c r="L29" t="s">
        <v>28</v>
      </c>
      <c r="M29" s="2">
        <v>0.1</v>
      </c>
      <c r="N29" t="s">
        <v>29</v>
      </c>
      <c r="O29" t="str">
        <f t="shared" si="0"/>
        <v>May</v>
      </c>
      <c r="P29" t="str">
        <f t="shared" si="1"/>
        <v>Middle-Aged</v>
      </c>
    </row>
    <row r="30" spans="1:16" x14ac:dyDescent="0.25">
      <c r="A30">
        <v>1029</v>
      </c>
      <c r="B30" s="1">
        <v>45104</v>
      </c>
      <c r="C30" t="s">
        <v>39</v>
      </c>
      <c r="D30" t="s">
        <v>68</v>
      </c>
      <c r="E30" s="3">
        <v>118</v>
      </c>
      <c r="F30" s="3">
        <v>1</v>
      </c>
      <c r="G30" s="3">
        <v>118</v>
      </c>
      <c r="H30" s="3">
        <v>27</v>
      </c>
      <c r="I30" t="s">
        <v>18</v>
      </c>
      <c r="J30" t="s">
        <v>63</v>
      </c>
      <c r="K30" t="s">
        <v>20</v>
      </c>
      <c r="L30" t="s">
        <v>47</v>
      </c>
      <c r="M30" s="2">
        <v>0.1</v>
      </c>
      <c r="N30" t="s">
        <v>29</v>
      </c>
      <c r="O30" t="str">
        <f t="shared" si="0"/>
        <v>June</v>
      </c>
      <c r="P30" t="str">
        <f t="shared" si="1"/>
        <v>Young Adult</v>
      </c>
    </row>
    <row r="31" spans="1:16" x14ac:dyDescent="0.25">
      <c r="A31">
        <v>1030</v>
      </c>
      <c r="B31" s="1">
        <v>45087</v>
      </c>
      <c r="C31" t="s">
        <v>35</v>
      </c>
      <c r="D31" t="s">
        <v>36</v>
      </c>
      <c r="E31" s="3">
        <v>275</v>
      </c>
      <c r="F31" s="3">
        <v>1</v>
      </c>
      <c r="G31" s="3">
        <v>275</v>
      </c>
      <c r="H31" s="3">
        <v>38</v>
      </c>
      <c r="I31" t="s">
        <v>18</v>
      </c>
      <c r="J31" t="s">
        <v>19</v>
      </c>
      <c r="K31" t="s">
        <v>33</v>
      </c>
      <c r="L31" t="s">
        <v>21</v>
      </c>
      <c r="M31" s="2">
        <v>0.2</v>
      </c>
      <c r="N31" t="s">
        <v>22</v>
      </c>
      <c r="O31" t="str">
        <f t="shared" si="0"/>
        <v>June</v>
      </c>
      <c r="P31" t="str">
        <f t="shared" si="1"/>
        <v>Adult</v>
      </c>
    </row>
    <row r="32" spans="1:16" x14ac:dyDescent="0.25">
      <c r="A32">
        <v>1031</v>
      </c>
      <c r="B32" s="1">
        <v>45313</v>
      </c>
      <c r="C32" t="s">
        <v>30</v>
      </c>
      <c r="D32" t="s">
        <v>69</v>
      </c>
      <c r="E32" s="3">
        <v>644</v>
      </c>
      <c r="F32" s="3">
        <v>3</v>
      </c>
      <c r="G32" s="3">
        <v>1932</v>
      </c>
      <c r="H32" s="3">
        <v>36</v>
      </c>
      <c r="I32" t="s">
        <v>18</v>
      </c>
      <c r="J32" t="s">
        <v>26</v>
      </c>
      <c r="K32" t="s">
        <v>42</v>
      </c>
      <c r="L32" t="s">
        <v>28</v>
      </c>
      <c r="M32" s="2">
        <v>0.05</v>
      </c>
      <c r="N32" t="s">
        <v>29</v>
      </c>
      <c r="O32" t="str">
        <f t="shared" si="0"/>
        <v>January</v>
      </c>
      <c r="P32" t="str">
        <f t="shared" si="1"/>
        <v>Adult</v>
      </c>
    </row>
    <row r="33" spans="1:16" x14ac:dyDescent="0.25">
      <c r="A33">
        <v>1032</v>
      </c>
      <c r="B33" s="1">
        <v>45031</v>
      </c>
      <c r="C33" t="s">
        <v>49</v>
      </c>
      <c r="D33" t="s">
        <v>57</v>
      </c>
      <c r="E33" s="3">
        <v>1029</v>
      </c>
      <c r="F33" s="3">
        <v>2</v>
      </c>
      <c r="G33" s="3">
        <v>2058</v>
      </c>
      <c r="H33" s="3">
        <v>45</v>
      </c>
      <c r="I33" t="s">
        <v>18</v>
      </c>
      <c r="J33" t="s">
        <v>48</v>
      </c>
      <c r="K33" t="s">
        <v>45</v>
      </c>
      <c r="L33" t="s">
        <v>21</v>
      </c>
      <c r="M33" s="2">
        <v>0.05</v>
      </c>
      <c r="N33" t="s">
        <v>22</v>
      </c>
      <c r="O33" t="str">
        <f t="shared" si="0"/>
        <v>April</v>
      </c>
      <c r="P33" t="str">
        <f t="shared" si="1"/>
        <v>Adult</v>
      </c>
    </row>
    <row r="34" spans="1:16" x14ac:dyDescent="0.25">
      <c r="A34">
        <v>1033</v>
      </c>
      <c r="B34" s="1">
        <v>45240</v>
      </c>
      <c r="C34" t="s">
        <v>35</v>
      </c>
      <c r="D34" t="s">
        <v>70</v>
      </c>
      <c r="E34" s="3">
        <v>436</v>
      </c>
      <c r="F34" s="3">
        <v>3</v>
      </c>
      <c r="G34" s="3">
        <v>1308</v>
      </c>
      <c r="H34" s="3">
        <v>52</v>
      </c>
      <c r="I34" t="s">
        <v>32</v>
      </c>
      <c r="J34" t="s">
        <v>60</v>
      </c>
      <c r="K34" t="s">
        <v>27</v>
      </c>
      <c r="L34" t="s">
        <v>47</v>
      </c>
      <c r="M34" s="2">
        <v>0.1</v>
      </c>
      <c r="N34" t="s">
        <v>22</v>
      </c>
      <c r="O34" t="str">
        <f t="shared" si="0"/>
        <v>November</v>
      </c>
      <c r="P34" t="str">
        <f t="shared" si="1"/>
        <v>Middle-Aged</v>
      </c>
    </row>
    <row r="35" spans="1:16" x14ac:dyDescent="0.25">
      <c r="A35">
        <v>1034</v>
      </c>
      <c r="B35" s="1">
        <v>45070</v>
      </c>
      <c r="C35" t="s">
        <v>52</v>
      </c>
      <c r="D35" t="s">
        <v>53</v>
      </c>
      <c r="E35" s="3">
        <v>685</v>
      </c>
      <c r="F35" s="3">
        <v>4</v>
      </c>
      <c r="G35" s="3">
        <v>2740</v>
      </c>
      <c r="H35" s="3">
        <v>38</v>
      </c>
      <c r="I35" t="s">
        <v>32</v>
      </c>
      <c r="J35" t="s">
        <v>26</v>
      </c>
      <c r="K35" t="s">
        <v>27</v>
      </c>
      <c r="L35" t="s">
        <v>34</v>
      </c>
      <c r="M35" s="2">
        <v>0.2</v>
      </c>
      <c r="N35" t="s">
        <v>29</v>
      </c>
      <c r="O35" t="str">
        <f t="shared" si="0"/>
        <v>May</v>
      </c>
      <c r="P35" t="str">
        <f t="shared" si="1"/>
        <v>Adult</v>
      </c>
    </row>
    <row r="36" spans="1:16" x14ac:dyDescent="0.25">
      <c r="A36">
        <v>1035</v>
      </c>
      <c r="B36" s="1">
        <v>45216</v>
      </c>
      <c r="C36" t="s">
        <v>49</v>
      </c>
      <c r="D36" t="s">
        <v>66</v>
      </c>
      <c r="E36" s="3">
        <v>131</v>
      </c>
      <c r="F36" s="3">
        <v>1</v>
      </c>
      <c r="G36" s="3">
        <v>131</v>
      </c>
      <c r="H36" s="3">
        <v>37</v>
      </c>
      <c r="I36" t="s">
        <v>18</v>
      </c>
      <c r="J36" t="s">
        <v>60</v>
      </c>
      <c r="K36" t="s">
        <v>20</v>
      </c>
      <c r="L36" t="s">
        <v>28</v>
      </c>
      <c r="M36" s="2">
        <v>0.2</v>
      </c>
      <c r="N36" t="s">
        <v>29</v>
      </c>
      <c r="O36" t="str">
        <f t="shared" si="0"/>
        <v>October</v>
      </c>
      <c r="P36" t="str">
        <f t="shared" si="1"/>
        <v>Adult</v>
      </c>
    </row>
    <row r="37" spans="1:16" x14ac:dyDescent="0.25">
      <c r="A37">
        <v>1036</v>
      </c>
      <c r="B37" s="1">
        <v>45083</v>
      </c>
      <c r="C37" t="s">
        <v>16</v>
      </c>
      <c r="D37" t="s">
        <v>71</v>
      </c>
      <c r="E37" s="3">
        <v>592</v>
      </c>
      <c r="F37" s="3">
        <v>2</v>
      </c>
      <c r="G37" s="3">
        <v>1184</v>
      </c>
      <c r="H37" s="3">
        <v>60</v>
      </c>
      <c r="I37" t="s">
        <v>18</v>
      </c>
      <c r="J37" t="s">
        <v>19</v>
      </c>
      <c r="K37" t="s">
        <v>45</v>
      </c>
      <c r="L37" t="s">
        <v>21</v>
      </c>
      <c r="M37" s="2">
        <v>0.15</v>
      </c>
      <c r="N37" t="s">
        <v>29</v>
      </c>
      <c r="O37" t="str">
        <f t="shared" si="0"/>
        <v>June</v>
      </c>
      <c r="P37" t="str">
        <f t="shared" si="1"/>
        <v>Middle-Aged</v>
      </c>
    </row>
    <row r="38" spans="1:16" x14ac:dyDescent="0.25">
      <c r="A38">
        <v>1037</v>
      </c>
      <c r="B38" s="1">
        <v>45054</v>
      </c>
      <c r="C38" t="s">
        <v>35</v>
      </c>
      <c r="D38" t="s">
        <v>72</v>
      </c>
      <c r="E38" s="3">
        <v>937</v>
      </c>
      <c r="F38" s="3">
        <v>4</v>
      </c>
      <c r="G38" s="3">
        <v>3748</v>
      </c>
      <c r="H38" s="3">
        <v>34</v>
      </c>
      <c r="I38" t="s">
        <v>32</v>
      </c>
      <c r="J38" t="s">
        <v>26</v>
      </c>
      <c r="K38" t="s">
        <v>37</v>
      </c>
      <c r="L38" t="s">
        <v>21</v>
      </c>
      <c r="M38" s="2">
        <v>0.25</v>
      </c>
      <c r="N38" t="s">
        <v>29</v>
      </c>
      <c r="O38" t="str">
        <f t="shared" si="0"/>
        <v>May</v>
      </c>
      <c r="P38" t="str">
        <f t="shared" si="1"/>
        <v>Adult</v>
      </c>
    </row>
    <row r="39" spans="1:16" x14ac:dyDescent="0.25">
      <c r="A39">
        <v>1038</v>
      </c>
      <c r="B39" s="1">
        <v>45095</v>
      </c>
      <c r="C39" t="s">
        <v>49</v>
      </c>
      <c r="D39" t="s">
        <v>66</v>
      </c>
      <c r="E39" s="3">
        <v>228</v>
      </c>
      <c r="F39" s="3">
        <v>1</v>
      </c>
      <c r="G39" s="3">
        <v>228</v>
      </c>
      <c r="H39" s="3">
        <v>21</v>
      </c>
      <c r="I39" t="s">
        <v>18</v>
      </c>
      <c r="J39" t="s">
        <v>63</v>
      </c>
      <c r="K39" t="s">
        <v>33</v>
      </c>
      <c r="L39" t="s">
        <v>34</v>
      </c>
      <c r="M39" s="2">
        <v>0.15</v>
      </c>
      <c r="N39" t="s">
        <v>22</v>
      </c>
      <c r="O39" t="str">
        <f t="shared" si="0"/>
        <v>June</v>
      </c>
      <c r="P39" t="str">
        <f t="shared" si="1"/>
        <v>Young Adult</v>
      </c>
    </row>
    <row r="40" spans="1:16" x14ac:dyDescent="0.25">
      <c r="A40">
        <v>1039</v>
      </c>
      <c r="B40" s="1">
        <v>44928</v>
      </c>
      <c r="C40" t="s">
        <v>30</v>
      </c>
      <c r="D40" t="s">
        <v>44</v>
      </c>
      <c r="E40" s="3">
        <v>385</v>
      </c>
      <c r="F40" s="3">
        <v>1</v>
      </c>
      <c r="G40" s="3">
        <v>385</v>
      </c>
      <c r="H40" s="3">
        <v>18</v>
      </c>
      <c r="I40" t="s">
        <v>18</v>
      </c>
      <c r="J40" t="s">
        <v>41</v>
      </c>
      <c r="K40" t="s">
        <v>42</v>
      </c>
      <c r="L40" t="s">
        <v>28</v>
      </c>
      <c r="M40" s="2">
        <v>0.2</v>
      </c>
      <c r="N40" t="s">
        <v>29</v>
      </c>
      <c r="O40" t="str">
        <f t="shared" si="0"/>
        <v>January</v>
      </c>
      <c r="P40" t="str">
        <f t="shared" si="1"/>
        <v>Young Adult</v>
      </c>
    </row>
    <row r="41" spans="1:16" x14ac:dyDescent="0.25">
      <c r="A41">
        <v>1040</v>
      </c>
      <c r="B41" s="1">
        <v>45085</v>
      </c>
      <c r="C41" t="s">
        <v>52</v>
      </c>
      <c r="D41" t="s">
        <v>73</v>
      </c>
      <c r="E41" s="3">
        <v>180</v>
      </c>
      <c r="F41" s="3">
        <v>3</v>
      </c>
      <c r="G41" s="3">
        <v>540</v>
      </c>
      <c r="H41" s="3">
        <v>35</v>
      </c>
      <c r="I41" t="s">
        <v>18</v>
      </c>
      <c r="J41" t="s">
        <v>58</v>
      </c>
      <c r="K41" t="s">
        <v>27</v>
      </c>
      <c r="L41" t="s">
        <v>21</v>
      </c>
      <c r="M41" s="2">
        <v>0.1</v>
      </c>
      <c r="N41" t="s">
        <v>22</v>
      </c>
      <c r="O41" t="str">
        <f t="shared" si="0"/>
        <v>June</v>
      </c>
      <c r="P41" t="str">
        <f t="shared" si="1"/>
        <v>Adult</v>
      </c>
    </row>
    <row r="42" spans="1:16" x14ac:dyDescent="0.25">
      <c r="A42">
        <v>1041</v>
      </c>
      <c r="B42" s="1">
        <v>45006</v>
      </c>
      <c r="C42" t="s">
        <v>35</v>
      </c>
      <c r="D42" t="s">
        <v>74</v>
      </c>
      <c r="E42" s="3">
        <v>900</v>
      </c>
      <c r="F42" s="3">
        <v>3</v>
      </c>
      <c r="G42" s="3">
        <v>2700</v>
      </c>
      <c r="H42" s="3">
        <v>51</v>
      </c>
      <c r="I42" t="s">
        <v>18</v>
      </c>
      <c r="J42" t="s">
        <v>41</v>
      </c>
      <c r="K42" t="s">
        <v>33</v>
      </c>
      <c r="L42" t="s">
        <v>21</v>
      </c>
      <c r="M42" s="2">
        <v>0.2</v>
      </c>
      <c r="N42" t="s">
        <v>22</v>
      </c>
      <c r="O42" t="str">
        <f t="shared" si="0"/>
        <v>March</v>
      </c>
      <c r="P42" t="str">
        <f t="shared" si="1"/>
        <v>Middle-Aged</v>
      </c>
    </row>
    <row r="43" spans="1:16" x14ac:dyDescent="0.25">
      <c r="A43">
        <v>1042</v>
      </c>
      <c r="B43" s="1">
        <v>45098</v>
      </c>
      <c r="C43" t="s">
        <v>52</v>
      </c>
      <c r="D43" t="s">
        <v>73</v>
      </c>
      <c r="E43" s="3">
        <v>97</v>
      </c>
      <c r="F43" s="3">
        <v>4</v>
      </c>
      <c r="G43" s="3">
        <v>388</v>
      </c>
      <c r="H43" s="3">
        <v>49</v>
      </c>
      <c r="I43" t="s">
        <v>32</v>
      </c>
      <c r="J43" t="s">
        <v>19</v>
      </c>
      <c r="K43" t="s">
        <v>45</v>
      </c>
      <c r="L43" t="s">
        <v>38</v>
      </c>
      <c r="M43" s="2">
        <v>0.1</v>
      </c>
      <c r="N43" t="s">
        <v>29</v>
      </c>
      <c r="O43" t="str">
        <f t="shared" si="0"/>
        <v>June</v>
      </c>
      <c r="P43" t="str">
        <f t="shared" si="1"/>
        <v>Adult</v>
      </c>
    </row>
    <row r="44" spans="1:16" x14ac:dyDescent="0.25">
      <c r="A44">
        <v>1043</v>
      </c>
      <c r="B44" s="1">
        <v>45190</v>
      </c>
      <c r="C44" t="s">
        <v>52</v>
      </c>
      <c r="D44" t="s">
        <v>65</v>
      </c>
      <c r="E44" s="3">
        <v>895</v>
      </c>
      <c r="F44" s="3">
        <v>5</v>
      </c>
      <c r="G44" s="3">
        <v>4475</v>
      </c>
      <c r="H44" s="3">
        <v>58</v>
      </c>
      <c r="I44" t="s">
        <v>32</v>
      </c>
      <c r="J44" t="s">
        <v>26</v>
      </c>
      <c r="K44" t="s">
        <v>37</v>
      </c>
      <c r="L44" t="s">
        <v>34</v>
      </c>
      <c r="M44" s="2">
        <v>0.3</v>
      </c>
      <c r="N44" t="s">
        <v>29</v>
      </c>
      <c r="O44" t="str">
        <f t="shared" si="0"/>
        <v>September</v>
      </c>
      <c r="P44" t="str">
        <f t="shared" si="1"/>
        <v>Middle-Aged</v>
      </c>
    </row>
    <row r="45" spans="1:16" x14ac:dyDescent="0.25">
      <c r="A45">
        <v>1044</v>
      </c>
      <c r="B45" s="1">
        <v>45146</v>
      </c>
      <c r="C45" t="s">
        <v>49</v>
      </c>
      <c r="D45" t="s">
        <v>66</v>
      </c>
      <c r="E45" s="3">
        <v>312</v>
      </c>
      <c r="F45" s="3">
        <v>3</v>
      </c>
      <c r="G45" s="3">
        <v>936</v>
      </c>
      <c r="H45" s="3">
        <v>32</v>
      </c>
      <c r="I45" t="s">
        <v>18</v>
      </c>
      <c r="J45" t="s">
        <v>43</v>
      </c>
      <c r="K45" t="s">
        <v>37</v>
      </c>
      <c r="L45" t="s">
        <v>47</v>
      </c>
      <c r="M45" s="2">
        <v>0.15</v>
      </c>
      <c r="N45" t="s">
        <v>29</v>
      </c>
      <c r="O45" t="str">
        <f t="shared" si="0"/>
        <v>August</v>
      </c>
      <c r="P45" t="str">
        <f t="shared" si="1"/>
        <v>Adult</v>
      </c>
    </row>
    <row r="46" spans="1:16" x14ac:dyDescent="0.25">
      <c r="A46">
        <v>1045</v>
      </c>
      <c r="B46" s="1">
        <v>45128</v>
      </c>
      <c r="C46" t="s">
        <v>35</v>
      </c>
      <c r="D46" t="s">
        <v>36</v>
      </c>
      <c r="E46" s="3">
        <v>1232</v>
      </c>
      <c r="F46" s="3">
        <v>1</v>
      </c>
      <c r="G46" s="3">
        <v>1232</v>
      </c>
      <c r="H46" s="3">
        <v>41</v>
      </c>
      <c r="I46" t="s">
        <v>18</v>
      </c>
      <c r="J46" t="s">
        <v>26</v>
      </c>
      <c r="K46" t="s">
        <v>33</v>
      </c>
      <c r="L46" t="s">
        <v>28</v>
      </c>
      <c r="M46" s="2">
        <v>0.15</v>
      </c>
      <c r="N46" t="s">
        <v>29</v>
      </c>
      <c r="O46" t="str">
        <f t="shared" si="0"/>
        <v>July</v>
      </c>
      <c r="P46" t="str">
        <f t="shared" si="1"/>
        <v>Adult</v>
      </c>
    </row>
    <row r="47" spans="1:16" x14ac:dyDescent="0.25">
      <c r="A47">
        <v>1046</v>
      </c>
      <c r="B47" s="1">
        <v>44961</v>
      </c>
      <c r="C47" t="s">
        <v>35</v>
      </c>
      <c r="D47" t="s">
        <v>75</v>
      </c>
      <c r="E47" s="3">
        <v>88</v>
      </c>
      <c r="F47" s="3">
        <v>1</v>
      </c>
      <c r="G47" s="3">
        <v>88</v>
      </c>
      <c r="H47" s="3">
        <v>31</v>
      </c>
      <c r="I47" t="s">
        <v>18</v>
      </c>
      <c r="J47" t="s">
        <v>58</v>
      </c>
      <c r="K47" t="s">
        <v>37</v>
      </c>
      <c r="L47" t="s">
        <v>21</v>
      </c>
      <c r="M47" s="2">
        <v>0.1</v>
      </c>
      <c r="N47" t="s">
        <v>22</v>
      </c>
      <c r="O47" t="str">
        <f t="shared" si="0"/>
        <v>February</v>
      </c>
      <c r="P47" t="str">
        <f t="shared" si="1"/>
        <v>Adult</v>
      </c>
    </row>
    <row r="48" spans="1:16" x14ac:dyDescent="0.25">
      <c r="A48">
        <v>1047</v>
      </c>
      <c r="B48" s="1">
        <v>45069</v>
      </c>
      <c r="C48" t="s">
        <v>35</v>
      </c>
      <c r="D48" t="s">
        <v>36</v>
      </c>
      <c r="E48" s="3">
        <v>1146</v>
      </c>
      <c r="F48" s="3">
        <v>3</v>
      </c>
      <c r="G48" s="3">
        <v>3438</v>
      </c>
      <c r="H48" s="3">
        <v>30</v>
      </c>
      <c r="I48" t="s">
        <v>32</v>
      </c>
      <c r="J48" t="s">
        <v>41</v>
      </c>
      <c r="K48" t="s">
        <v>37</v>
      </c>
      <c r="L48" t="s">
        <v>21</v>
      </c>
      <c r="M48" s="2">
        <v>0.3</v>
      </c>
      <c r="N48" t="s">
        <v>29</v>
      </c>
      <c r="O48" t="str">
        <f t="shared" si="0"/>
        <v>May</v>
      </c>
      <c r="P48" t="str">
        <f t="shared" si="1"/>
        <v>Adult</v>
      </c>
    </row>
    <row r="49" spans="1:16" x14ac:dyDescent="0.25">
      <c r="A49">
        <v>1048</v>
      </c>
      <c r="B49" s="1">
        <v>44997</v>
      </c>
      <c r="C49" t="s">
        <v>24</v>
      </c>
      <c r="D49" t="s">
        <v>76</v>
      </c>
      <c r="E49" s="3">
        <v>471</v>
      </c>
      <c r="F49" s="3">
        <v>2</v>
      </c>
      <c r="G49" s="3">
        <v>942</v>
      </c>
      <c r="H49" s="3">
        <v>43</v>
      </c>
      <c r="I49" t="s">
        <v>32</v>
      </c>
      <c r="J49" t="s">
        <v>43</v>
      </c>
      <c r="K49" t="s">
        <v>20</v>
      </c>
      <c r="L49" t="s">
        <v>34</v>
      </c>
      <c r="M49" s="2">
        <v>0.15</v>
      </c>
      <c r="N49" t="s">
        <v>22</v>
      </c>
      <c r="O49" t="str">
        <f t="shared" si="0"/>
        <v>March</v>
      </c>
      <c r="P49" t="str">
        <f t="shared" si="1"/>
        <v>Adult</v>
      </c>
    </row>
    <row r="50" spans="1:16" x14ac:dyDescent="0.25">
      <c r="A50">
        <v>1049</v>
      </c>
      <c r="B50" s="1">
        <v>45270</v>
      </c>
      <c r="C50" t="s">
        <v>35</v>
      </c>
      <c r="D50" t="s">
        <v>36</v>
      </c>
      <c r="E50" s="3">
        <v>435</v>
      </c>
      <c r="F50" s="3">
        <v>5</v>
      </c>
      <c r="G50" s="3">
        <v>2175</v>
      </c>
      <c r="H50" s="3">
        <v>47</v>
      </c>
      <c r="I50" t="s">
        <v>18</v>
      </c>
      <c r="J50" t="s">
        <v>19</v>
      </c>
      <c r="K50" t="s">
        <v>37</v>
      </c>
      <c r="L50" t="s">
        <v>34</v>
      </c>
      <c r="M50" s="2">
        <v>0.1</v>
      </c>
      <c r="N50" t="s">
        <v>22</v>
      </c>
      <c r="O50" t="str">
        <f t="shared" si="0"/>
        <v>December</v>
      </c>
      <c r="P50" t="str">
        <f t="shared" si="1"/>
        <v>Adult</v>
      </c>
    </row>
    <row r="51" spans="1:16" x14ac:dyDescent="0.25">
      <c r="A51">
        <v>1050</v>
      </c>
      <c r="B51" s="1">
        <v>45172</v>
      </c>
      <c r="C51" t="s">
        <v>39</v>
      </c>
      <c r="D51" t="s">
        <v>46</v>
      </c>
      <c r="E51" s="3">
        <v>979</v>
      </c>
      <c r="F51" s="3">
        <v>4</v>
      </c>
      <c r="G51" s="3">
        <v>3916</v>
      </c>
      <c r="H51" s="3">
        <v>50</v>
      </c>
      <c r="I51" t="s">
        <v>32</v>
      </c>
      <c r="J51" t="s">
        <v>63</v>
      </c>
      <c r="K51" t="s">
        <v>45</v>
      </c>
      <c r="L51" t="s">
        <v>21</v>
      </c>
      <c r="M51" s="2">
        <v>0.1</v>
      </c>
      <c r="N51" t="s">
        <v>22</v>
      </c>
      <c r="O51" t="str">
        <f t="shared" si="0"/>
        <v>September</v>
      </c>
      <c r="P51" t="str">
        <f t="shared" si="1"/>
        <v>Middle-Aged</v>
      </c>
    </row>
    <row r="52" spans="1:16" x14ac:dyDescent="0.25">
      <c r="A52">
        <v>1051</v>
      </c>
      <c r="B52" s="1">
        <v>45258</v>
      </c>
      <c r="C52" t="s">
        <v>39</v>
      </c>
      <c r="D52" t="s">
        <v>46</v>
      </c>
      <c r="E52" s="3">
        <v>300</v>
      </c>
      <c r="F52" s="3">
        <v>5</v>
      </c>
      <c r="G52" s="3">
        <v>1500</v>
      </c>
      <c r="H52" s="3">
        <v>58</v>
      </c>
      <c r="I52" t="s">
        <v>32</v>
      </c>
      <c r="J52" t="s">
        <v>41</v>
      </c>
      <c r="K52" t="s">
        <v>33</v>
      </c>
      <c r="L52" t="s">
        <v>28</v>
      </c>
      <c r="M52" s="2">
        <v>0.05</v>
      </c>
      <c r="N52" t="s">
        <v>29</v>
      </c>
      <c r="O52" t="str">
        <f t="shared" si="0"/>
        <v>November</v>
      </c>
      <c r="P52" t="str">
        <f t="shared" si="1"/>
        <v>Middle-Aged</v>
      </c>
    </row>
    <row r="53" spans="1:16" x14ac:dyDescent="0.25">
      <c r="A53">
        <v>1052</v>
      </c>
      <c r="B53" s="1">
        <v>45215</v>
      </c>
      <c r="C53" t="s">
        <v>35</v>
      </c>
      <c r="D53" t="s">
        <v>75</v>
      </c>
      <c r="E53" s="3">
        <v>23</v>
      </c>
      <c r="F53" s="3">
        <v>4</v>
      </c>
      <c r="G53" s="3">
        <v>92</v>
      </c>
      <c r="H53" s="3">
        <v>59</v>
      </c>
      <c r="I53" t="s">
        <v>18</v>
      </c>
      <c r="J53" t="s">
        <v>41</v>
      </c>
      <c r="K53" t="s">
        <v>37</v>
      </c>
      <c r="L53" t="s">
        <v>38</v>
      </c>
      <c r="M53" s="2">
        <v>0.05</v>
      </c>
      <c r="N53" t="s">
        <v>29</v>
      </c>
      <c r="O53" t="str">
        <f t="shared" si="0"/>
        <v>October</v>
      </c>
      <c r="P53" t="str">
        <f t="shared" si="1"/>
        <v>Middle-Aged</v>
      </c>
    </row>
    <row r="54" spans="1:16" x14ac:dyDescent="0.25">
      <c r="A54">
        <v>1053</v>
      </c>
      <c r="B54" s="1">
        <v>45325</v>
      </c>
      <c r="C54" t="s">
        <v>30</v>
      </c>
      <c r="D54" t="s">
        <v>77</v>
      </c>
      <c r="E54" s="3">
        <v>336</v>
      </c>
      <c r="F54" s="3">
        <v>1</v>
      </c>
      <c r="G54" s="3">
        <v>336</v>
      </c>
      <c r="H54" s="3">
        <v>33</v>
      </c>
      <c r="I54" t="s">
        <v>32</v>
      </c>
      <c r="J54" t="s">
        <v>55</v>
      </c>
      <c r="K54" t="s">
        <v>37</v>
      </c>
      <c r="L54" t="s">
        <v>47</v>
      </c>
      <c r="M54" s="2">
        <v>0.25</v>
      </c>
      <c r="N54" t="s">
        <v>22</v>
      </c>
      <c r="O54" t="str">
        <f t="shared" si="0"/>
        <v>February</v>
      </c>
      <c r="P54" t="str">
        <f t="shared" si="1"/>
        <v>Adult</v>
      </c>
    </row>
    <row r="55" spans="1:16" x14ac:dyDescent="0.25">
      <c r="A55">
        <v>1054</v>
      </c>
      <c r="B55" s="1">
        <v>45094</v>
      </c>
      <c r="C55" t="s">
        <v>16</v>
      </c>
      <c r="D55" t="s">
        <v>56</v>
      </c>
      <c r="E55" s="3">
        <v>97</v>
      </c>
      <c r="F55" s="3">
        <v>5</v>
      </c>
      <c r="G55" s="3">
        <v>485</v>
      </c>
      <c r="H55" s="3">
        <v>49</v>
      </c>
      <c r="I55" t="s">
        <v>32</v>
      </c>
      <c r="J55" t="s">
        <v>26</v>
      </c>
      <c r="K55" t="s">
        <v>42</v>
      </c>
      <c r="L55" t="s">
        <v>21</v>
      </c>
      <c r="M55" s="2">
        <v>0.15</v>
      </c>
      <c r="N55" t="s">
        <v>29</v>
      </c>
      <c r="O55" t="str">
        <f t="shared" si="0"/>
        <v>June</v>
      </c>
      <c r="P55" t="str">
        <f t="shared" si="1"/>
        <v>Adult</v>
      </c>
    </row>
    <row r="56" spans="1:16" x14ac:dyDescent="0.25">
      <c r="A56">
        <v>1055</v>
      </c>
      <c r="B56" s="1">
        <v>44992</v>
      </c>
      <c r="C56" t="s">
        <v>39</v>
      </c>
      <c r="D56" t="s">
        <v>78</v>
      </c>
      <c r="E56" s="3">
        <v>135</v>
      </c>
      <c r="F56" s="3">
        <v>5</v>
      </c>
      <c r="G56" s="3">
        <v>675</v>
      </c>
      <c r="H56" s="3">
        <v>27</v>
      </c>
      <c r="I56" t="s">
        <v>32</v>
      </c>
      <c r="J56" t="s">
        <v>43</v>
      </c>
      <c r="K56" t="s">
        <v>27</v>
      </c>
      <c r="L56" t="s">
        <v>28</v>
      </c>
      <c r="M56" s="2">
        <v>0.2</v>
      </c>
      <c r="N56" t="s">
        <v>29</v>
      </c>
      <c r="O56" t="str">
        <f t="shared" si="0"/>
        <v>March</v>
      </c>
      <c r="P56" t="str">
        <f t="shared" si="1"/>
        <v>Young Adult</v>
      </c>
    </row>
    <row r="57" spans="1:16" x14ac:dyDescent="0.25">
      <c r="A57">
        <v>1056</v>
      </c>
      <c r="B57" s="1">
        <v>45257</v>
      </c>
      <c r="C57" t="s">
        <v>52</v>
      </c>
      <c r="D57" t="s">
        <v>67</v>
      </c>
      <c r="E57" s="3">
        <v>318</v>
      </c>
      <c r="F57" s="3">
        <v>1</v>
      </c>
      <c r="G57" s="3">
        <v>318</v>
      </c>
      <c r="H57" s="3">
        <v>35</v>
      </c>
      <c r="I57" t="s">
        <v>32</v>
      </c>
      <c r="J57" t="s">
        <v>55</v>
      </c>
      <c r="K57" t="s">
        <v>37</v>
      </c>
      <c r="L57" t="s">
        <v>28</v>
      </c>
      <c r="M57" s="2">
        <v>0.3</v>
      </c>
      <c r="N57" t="s">
        <v>29</v>
      </c>
      <c r="O57" t="str">
        <f t="shared" si="0"/>
        <v>November</v>
      </c>
      <c r="P57" t="str">
        <f t="shared" si="1"/>
        <v>Adult</v>
      </c>
    </row>
    <row r="58" spans="1:16" x14ac:dyDescent="0.25">
      <c r="A58">
        <v>1057</v>
      </c>
      <c r="B58" s="1">
        <v>45281</v>
      </c>
      <c r="C58" t="s">
        <v>52</v>
      </c>
      <c r="D58" t="s">
        <v>67</v>
      </c>
      <c r="E58" s="3">
        <v>200</v>
      </c>
      <c r="F58" s="3">
        <v>1</v>
      </c>
      <c r="G58" s="3">
        <v>200</v>
      </c>
      <c r="H58" s="3">
        <v>54</v>
      </c>
      <c r="I58" t="s">
        <v>32</v>
      </c>
      <c r="J58" t="s">
        <v>41</v>
      </c>
      <c r="K58" t="s">
        <v>45</v>
      </c>
      <c r="L58" t="s">
        <v>34</v>
      </c>
      <c r="M58" s="2">
        <v>0.2</v>
      </c>
      <c r="N58" t="s">
        <v>22</v>
      </c>
      <c r="O58" t="str">
        <f t="shared" si="0"/>
        <v>December</v>
      </c>
      <c r="P58" t="str">
        <f t="shared" si="1"/>
        <v>Middle-Aged</v>
      </c>
    </row>
    <row r="59" spans="1:16" x14ac:dyDescent="0.25">
      <c r="A59">
        <v>1058</v>
      </c>
      <c r="B59" s="1">
        <v>44932</v>
      </c>
      <c r="C59" t="s">
        <v>30</v>
      </c>
      <c r="D59" t="s">
        <v>69</v>
      </c>
      <c r="E59" s="3">
        <v>738</v>
      </c>
      <c r="F59" s="3">
        <v>5</v>
      </c>
      <c r="G59" s="3">
        <v>3690</v>
      </c>
      <c r="H59" s="3">
        <v>34</v>
      </c>
      <c r="I59" t="s">
        <v>32</v>
      </c>
      <c r="J59" t="s">
        <v>41</v>
      </c>
      <c r="K59" t="s">
        <v>20</v>
      </c>
      <c r="L59" t="s">
        <v>34</v>
      </c>
      <c r="M59" s="2">
        <v>0.25</v>
      </c>
      <c r="N59" t="s">
        <v>22</v>
      </c>
      <c r="O59" t="str">
        <f t="shared" si="0"/>
        <v>January</v>
      </c>
      <c r="P59" t="str">
        <f t="shared" si="1"/>
        <v>Adult</v>
      </c>
    </row>
    <row r="60" spans="1:16" x14ac:dyDescent="0.25">
      <c r="A60">
        <v>1059</v>
      </c>
      <c r="B60" s="1">
        <v>45067</v>
      </c>
      <c r="C60" t="s">
        <v>49</v>
      </c>
      <c r="D60" t="s">
        <v>50</v>
      </c>
      <c r="E60" s="3">
        <v>433</v>
      </c>
      <c r="F60" s="3">
        <v>1</v>
      </c>
      <c r="G60" s="3">
        <v>433</v>
      </c>
      <c r="H60" s="3">
        <v>40</v>
      </c>
      <c r="I60" t="s">
        <v>32</v>
      </c>
      <c r="J60" t="s">
        <v>58</v>
      </c>
      <c r="K60" t="s">
        <v>45</v>
      </c>
      <c r="L60" t="s">
        <v>21</v>
      </c>
      <c r="M60" s="2">
        <v>0.15</v>
      </c>
      <c r="N60" t="s">
        <v>29</v>
      </c>
      <c r="O60" t="str">
        <f t="shared" si="0"/>
        <v>May</v>
      </c>
      <c r="P60" t="str">
        <f t="shared" si="1"/>
        <v>Adult</v>
      </c>
    </row>
    <row r="61" spans="1:16" x14ac:dyDescent="0.25">
      <c r="A61">
        <v>1060</v>
      </c>
      <c r="B61" s="1">
        <v>45060</v>
      </c>
      <c r="C61" t="s">
        <v>16</v>
      </c>
      <c r="D61" t="s">
        <v>71</v>
      </c>
      <c r="E61" s="3">
        <v>121</v>
      </c>
      <c r="F61" s="3">
        <v>1</v>
      </c>
      <c r="G61" s="3">
        <v>121</v>
      </c>
      <c r="H61" s="3">
        <v>24</v>
      </c>
      <c r="I61" t="s">
        <v>32</v>
      </c>
      <c r="J61" t="s">
        <v>55</v>
      </c>
      <c r="K61" t="s">
        <v>27</v>
      </c>
      <c r="L61" t="s">
        <v>47</v>
      </c>
      <c r="M61" s="2">
        <v>0.05</v>
      </c>
      <c r="N61" t="s">
        <v>29</v>
      </c>
      <c r="O61" t="str">
        <f t="shared" si="0"/>
        <v>May</v>
      </c>
      <c r="P61" t="str">
        <f t="shared" si="1"/>
        <v>Young Adult</v>
      </c>
    </row>
    <row r="62" spans="1:16" x14ac:dyDescent="0.25">
      <c r="A62">
        <v>1061</v>
      </c>
      <c r="B62" s="1">
        <v>45303</v>
      </c>
      <c r="C62" t="s">
        <v>52</v>
      </c>
      <c r="D62" t="s">
        <v>73</v>
      </c>
      <c r="E62" s="3">
        <v>506</v>
      </c>
      <c r="F62" s="3">
        <v>4</v>
      </c>
      <c r="G62" s="3">
        <v>2024</v>
      </c>
      <c r="H62" s="3">
        <v>52</v>
      </c>
      <c r="I62" t="s">
        <v>32</v>
      </c>
      <c r="J62" t="s">
        <v>55</v>
      </c>
      <c r="K62" t="s">
        <v>20</v>
      </c>
      <c r="L62" t="s">
        <v>47</v>
      </c>
      <c r="M62" s="2">
        <v>0.25</v>
      </c>
      <c r="N62" t="s">
        <v>29</v>
      </c>
      <c r="O62" t="str">
        <f t="shared" si="0"/>
        <v>January</v>
      </c>
      <c r="P62" t="str">
        <f t="shared" si="1"/>
        <v>Middle-Aged</v>
      </c>
    </row>
    <row r="63" spans="1:16" x14ac:dyDescent="0.25">
      <c r="A63">
        <v>1062</v>
      </c>
      <c r="B63" s="1">
        <v>44928</v>
      </c>
      <c r="C63" t="s">
        <v>30</v>
      </c>
      <c r="D63" t="s">
        <v>79</v>
      </c>
      <c r="E63" s="3">
        <v>913</v>
      </c>
      <c r="F63" s="3">
        <v>2</v>
      </c>
      <c r="G63" s="3">
        <v>1826</v>
      </c>
      <c r="H63" s="3">
        <v>53</v>
      </c>
      <c r="I63" t="s">
        <v>32</v>
      </c>
      <c r="J63" t="s">
        <v>55</v>
      </c>
      <c r="K63" t="s">
        <v>27</v>
      </c>
      <c r="L63" t="s">
        <v>34</v>
      </c>
      <c r="M63" s="2">
        <v>0.15</v>
      </c>
      <c r="N63" t="s">
        <v>22</v>
      </c>
      <c r="O63" t="str">
        <f t="shared" si="0"/>
        <v>January</v>
      </c>
      <c r="P63" t="str">
        <f t="shared" si="1"/>
        <v>Middle-Aged</v>
      </c>
    </row>
    <row r="64" spans="1:16" x14ac:dyDescent="0.25">
      <c r="A64">
        <v>1063</v>
      </c>
      <c r="B64" s="1">
        <v>45161</v>
      </c>
      <c r="C64" t="s">
        <v>35</v>
      </c>
      <c r="D64" t="s">
        <v>70</v>
      </c>
      <c r="E64" s="3">
        <v>610</v>
      </c>
      <c r="F64" s="3">
        <v>1</v>
      </c>
      <c r="G64" s="3">
        <v>610</v>
      </c>
      <c r="H64" s="3">
        <v>35</v>
      </c>
      <c r="I64" t="s">
        <v>18</v>
      </c>
      <c r="J64" t="s">
        <v>43</v>
      </c>
      <c r="K64" t="s">
        <v>45</v>
      </c>
      <c r="L64" t="s">
        <v>38</v>
      </c>
      <c r="M64" s="2">
        <v>0.3</v>
      </c>
      <c r="N64" t="s">
        <v>22</v>
      </c>
      <c r="O64" t="str">
        <f t="shared" si="0"/>
        <v>August</v>
      </c>
      <c r="P64" t="str">
        <f t="shared" si="1"/>
        <v>Adult</v>
      </c>
    </row>
    <row r="65" spans="1:16" x14ac:dyDescent="0.25">
      <c r="A65">
        <v>1064</v>
      </c>
      <c r="B65" s="1">
        <v>45320</v>
      </c>
      <c r="C65" t="s">
        <v>24</v>
      </c>
      <c r="D65" t="s">
        <v>80</v>
      </c>
      <c r="E65" s="3">
        <v>430</v>
      </c>
      <c r="F65" s="3">
        <v>4</v>
      </c>
      <c r="G65" s="3">
        <v>1720</v>
      </c>
      <c r="H65" s="3">
        <v>37</v>
      </c>
      <c r="I65" t="s">
        <v>18</v>
      </c>
      <c r="J65" t="s">
        <v>48</v>
      </c>
      <c r="K65" t="s">
        <v>37</v>
      </c>
      <c r="L65" t="s">
        <v>28</v>
      </c>
      <c r="M65" s="2">
        <v>0.15</v>
      </c>
      <c r="N65" t="s">
        <v>29</v>
      </c>
      <c r="O65" t="str">
        <f t="shared" si="0"/>
        <v>January</v>
      </c>
      <c r="P65" t="str">
        <f t="shared" si="1"/>
        <v>Adult</v>
      </c>
    </row>
    <row r="66" spans="1:16" x14ac:dyDescent="0.25">
      <c r="A66">
        <v>1065</v>
      </c>
      <c r="B66" s="1">
        <v>45204</v>
      </c>
      <c r="C66" t="s">
        <v>16</v>
      </c>
      <c r="D66" t="s">
        <v>59</v>
      </c>
      <c r="E66" s="3">
        <v>383</v>
      </c>
      <c r="F66" s="3">
        <v>4</v>
      </c>
      <c r="G66" s="3">
        <v>1532</v>
      </c>
      <c r="H66" s="3">
        <v>24</v>
      </c>
      <c r="I66" t="s">
        <v>18</v>
      </c>
      <c r="J66" t="s">
        <v>55</v>
      </c>
      <c r="K66" t="s">
        <v>33</v>
      </c>
      <c r="L66" t="s">
        <v>38</v>
      </c>
      <c r="M66" s="2">
        <v>0.15</v>
      </c>
      <c r="N66" t="s">
        <v>22</v>
      </c>
      <c r="O66" t="str">
        <f t="shared" si="0"/>
        <v>October</v>
      </c>
      <c r="P66" t="str">
        <f t="shared" ref="P66:P129" si="2">IF(H66&lt;13, "Child", IF(H66&lt;18, "Teen", IF(H66&lt;30, "Young Adult", IF(H66&lt;50, "Adult", IF(H66&lt;65, "Middle-Aged", "Senior")))))</f>
        <v>Young Adult</v>
      </c>
    </row>
    <row r="67" spans="1:16" x14ac:dyDescent="0.25">
      <c r="A67">
        <v>1066</v>
      </c>
      <c r="B67" s="1">
        <v>44984</v>
      </c>
      <c r="C67" t="s">
        <v>49</v>
      </c>
      <c r="D67" t="s">
        <v>81</v>
      </c>
      <c r="E67" s="3">
        <v>985</v>
      </c>
      <c r="F67" s="3">
        <v>3</v>
      </c>
      <c r="G67" s="3">
        <v>2955</v>
      </c>
      <c r="H67" s="3">
        <v>53</v>
      </c>
      <c r="I67" t="s">
        <v>18</v>
      </c>
      <c r="J67" t="s">
        <v>48</v>
      </c>
      <c r="K67" t="s">
        <v>27</v>
      </c>
      <c r="L67" t="s">
        <v>38</v>
      </c>
      <c r="M67" s="2">
        <v>0.25</v>
      </c>
      <c r="N67" t="s">
        <v>29</v>
      </c>
      <c r="O67" t="str">
        <f t="shared" ref="O67:O130" si="3">TEXT(B67, "MMMM")</f>
        <v>February</v>
      </c>
      <c r="P67" t="str">
        <f t="shared" si="2"/>
        <v>Middle-Aged</v>
      </c>
    </row>
    <row r="68" spans="1:16" x14ac:dyDescent="0.25">
      <c r="A68">
        <v>1067</v>
      </c>
      <c r="B68" s="1">
        <v>45011</v>
      </c>
      <c r="C68" t="s">
        <v>24</v>
      </c>
      <c r="D68" t="s">
        <v>54</v>
      </c>
      <c r="E68" s="3">
        <v>835</v>
      </c>
      <c r="F68" s="3">
        <v>5</v>
      </c>
      <c r="G68" s="3">
        <v>4175</v>
      </c>
      <c r="H68" s="3">
        <v>29</v>
      </c>
      <c r="I68" t="s">
        <v>32</v>
      </c>
      <c r="J68" t="s">
        <v>58</v>
      </c>
      <c r="K68" t="s">
        <v>37</v>
      </c>
      <c r="L68" t="s">
        <v>34</v>
      </c>
      <c r="M68" s="2">
        <v>0.25</v>
      </c>
      <c r="N68" t="s">
        <v>29</v>
      </c>
      <c r="O68" t="str">
        <f t="shared" si="3"/>
        <v>March</v>
      </c>
      <c r="P68" t="str">
        <f t="shared" si="2"/>
        <v>Young Adult</v>
      </c>
    </row>
    <row r="69" spans="1:16" x14ac:dyDescent="0.25">
      <c r="A69">
        <v>1068</v>
      </c>
      <c r="B69" s="1">
        <v>45214</v>
      </c>
      <c r="C69" t="s">
        <v>39</v>
      </c>
      <c r="D69" t="s">
        <v>46</v>
      </c>
      <c r="E69" s="3">
        <v>882</v>
      </c>
      <c r="F69" s="3">
        <v>4</v>
      </c>
      <c r="G69" s="3">
        <v>3528</v>
      </c>
      <c r="H69" s="3">
        <v>46</v>
      </c>
      <c r="I69" t="s">
        <v>18</v>
      </c>
      <c r="J69" t="s">
        <v>55</v>
      </c>
      <c r="K69" t="s">
        <v>42</v>
      </c>
      <c r="L69" t="s">
        <v>28</v>
      </c>
      <c r="M69" s="2">
        <v>0.1</v>
      </c>
      <c r="N69" t="s">
        <v>29</v>
      </c>
      <c r="O69" t="str">
        <f t="shared" si="3"/>
        <v>October</v>
      </c>
      <c r="P69" t="str">
        <f t="shared" si="2"/>
        <v>Adult</v>
      </c>
    </row>
    <row r="70" spans="1:16" x14ac:dyDescent="0.25">
      <c r="A70">
        <v>1069</v>
      </c>
      <c r="B70" s="1">
        <v>45142</v>
      </c>
      <c r="C70" t="s">
        <v>35</v>
      </c>
      <c r="D70" t="s">
        <v>75</v>
      </c>
      <c r="E70" s="3">
        <v>1493</v>
      </c>
      <c r="F70" s="3">
        <v>4</v>
      </c>
      <c r="G70" s="3">
        <v>5972</v>
      </c>
      <c r="H70" s="3">
        <v>38</v>
      </c>
      <c r="I70" t="s">
        <v>18</v>
      </c>
      <c r="J70" t="s">
        <v>51</v>
      </c>
      <c r="K70" t="s">
        <v>37</v>
      </c>
      <c r="L70" t="s">
        <v>47</v>
      </c>
      <c r="M70" s="2">
        <v>0.3</v>
      </c>
      <c r="N70" t="s">
        <v>29</v>
      </c>
      <c r="O70" t="str">
        <f t="shared" si="3"/>
        <v>August</v>
      </c>
      <c r="P70" t="str">
        <f t="shared" si="2"/>
        <v>Adult</v>
      </c>
    </row>
    <row r="71" spans="1:16" x14ac:dyDescent="0.25">
      <c r="A71">
        <v>1070</v>
      </c>
      <c r="B71" s="1">
        <v>45018</v>
      </c>
      <c r="C71" t="s">
        <v>49</v>
      </c>
      <c r="D71" t="s">
        <v>81</v>
      </c>
      <c r="E71" s="3">
        <v>1420</v>
      </c>
      <c r="F71" s="3">
        <v>4</v>
      </c>
      <c r="G71" s="3">
        <v>5680</v>
      </c>
      <c r="H71" s="3">
        <v>39</v>
      </c>
      <c r="I71" t="s">
        <v>32</v>
      </c>
      <c r="J71" t="s">
        <v>51</v>
      </c>
      <c r="K71" t="s">
        <v>37</v>
      </c>
      <c r="L71" t="s">
        <v>34</v>
      </c>
      <c r="M71" s="2">
        <v>0.25</v>
      </c>
      <c r="N71" t="s">
        <v>22</v>
      </c>
      <c r="O71" t="str">
        <f t="shared" si="3"/>
        <v>April</v>
      </c>
      <c r="P71" t="str">
        <f t="shared" si="2"/>
        <v>Adult</v>
      </c>
    </row>
    <row r="72" spans="1:16" x14ac:dyDescent="0.25">
      <c r="A72">
        <v>1071</v>
      </c>
      <c r="B72" s="1">
        <v>44962</v>
      </c>
      <c r="C72" t="s">
        <v>39</v>
      </c>
      <c r="D72" t="s">
        <v>68</v>
      </c>
      <c r="E72" s="3">
        <v>928</v>
      </c>
      <c r="F72" s="3">
        <v>1</v>
      </c>
      <c r="G72" s="3">
        <v>928</v>
      </c>
      <c r="H72" s="3">
        <v>36</v>
      </c>
      <c r="I72" t="s">
        <v>18</v>
      </c>
      <c r="J72" t="s">
        <v>63</v>
      </c>
      <c r="K72" t="s">
        <v>20</v>
      </c>
      <c r="L72" t="s">
        <v>34</v>
      </c>
      <c r="M72" s="2">
        <v>0.25</v>
      </c>
      <c r="N72" t="s">
        <v>29</v>
      </c>
      <c r="O72" t="str">
        <f t="shared" si="3"/>
        <v>February</v>
      </c>
      <c r="P72" t="str">
        <f t="shared" si="2"/>
        <v>Adult</v>
      </c>
    </row>
    <row r="73" spans="1:16" x14ac:dyDescent="0.25">
      <c r="A73">
        <v>1072</v>
      </c>
      <c r="B73" s="1">
        <v>45197</v>
      </c>
      <c r="C73" t="s">
        <v>24</v>
      </c>
      <c r="D73" t="s">
        <v>80</v>
      </c>
      <c r="E73" s="3">
        <v>1239</v>
      </c>
      <c r="F73" s="3">
        <v>5</v>
      </c>
      <c r="G73" s="3">
        <v>6195</v>
      </c>
      <c r="H73" s="3">
        <v>34</v>
      </c>
      <c r="I73" t="s">
        <v>18</v>
      </c>
      <c r="J73" t="s">
        <v>26</v>
      </c>
      <c r="K73" t="s">
        <v>33</v>
      </c>
      <c r="L73" t="s">
        <v>28</v>
      </c>
      <c r="M73" s="2">
        <v>0.05</v>
      </c>
      <c r="N73" t="s">
        <v>22</v>
      </c>
      <c r="O73" t="str">
        <f t="shared" si="3"/>
        <v>September</v>
      </c>
      <c r="P73" t="str">
        <f t="shared" si="2"/>
        <v>Adult</v>
      </c>
    </row>
    <row r="74" spans="1:16" x14ac:dyDescent="0.25">
      <c r="A74">
        <v>1073</v>
      </c>
      <c r="B74" s="1">
        <v>45261</v>
      </c>
      <c r="C74" t="s">
        <v>35</v>
      </c>
      <c r="D74" t="s">
        <v>70</v>
      </c>
      <c r="E74" s="3">
        <v>505</v>
      </c>
      <c r="F74" s="3">
        <v>1</v>
      </c>
      <c r="G74" s="3">
        <v>505</v>
      </c>
      <c r="H74" s="3">
        <v>26</v>
      </c>
      <c r="I74" t="s">
        <v>18</v>
      </c>
      <c r="J74" t="s">
        <v>48</v>
      </c>
      <c r="K74" t="s">
        <v>37</v>
      </c>
      <c r="L74" t="s">
        <v>38</v>
      </c>
      <c r="M74" s="2">
        <v>0.05</v>
      </c>
      <c r="N74" t="s">
        <v>22</v>
      </c>
      <c r="O74" t="str">
        <f t="shared" si="3"/>
        <v>December</v>
      </c>
      <c r="P74" t="str">
        <f t="shared" si="2"/>
        <v>Young Adult</v>
      </c>
    </row>
    <row r="75" spans="1:16" x14ac:dyDescent="0.25">
      <c r="A75">
        <v>1074</v>
      </c>
      <c r="B75" s="1">
        <v>44961</v>
      </c>
      <c r="C75" t="s">
        <v>35</v>
      </c>
      <c r="D75" t="s">
        <v>74</v>
      </c>
      <c r="E75" s="3">
        <v>446</v>
      </c>
      <c r="F75" s="3">
        <v>1</v>
      </c>
      <c r="G75" s="3">
        <v>446</v>
      </c>
      <c r="H75" s="3">
        <v>60</v>
      </c>
      <c r="I75" t="s">
        <v>18</v>
      </c>
      <c r="J75" t="s">
        <v>51</v>
      </c>
      <c r="K75" t="s">
        <v>27</v>
      </c>
      <c r="L75" t="s">
        <v>38</v>
      </c>
      <c r="M75" s="2">
        <v>0.25</v>
      </c>
      <c r="N75" t="s">
        <v>22</v>
      </c>
      <c r="O75" t="str">
        <f t="shared" si="3"/>
        <v>February</v>
      </c>
      <c r="P75" t="str">
        <f t="shared" si="2"/>
        <v>Middle-Aged</v>
      </c>
    </row>
    <row r="76" spans="1:16" x14ac:dyDescent="0.25">
      <c r="A76">
        <v>1075</v>
      </c>
      <c r="B76" s="1">
        <v>45040</v>
      </c>
      <c r="C76" t="s">
        <v>52</v>
      </c>
      <c r="D76" t="s">
        <v>67</v>
      </c>
      <c r="E76" s="3">
        <v>201</v>
      </c>
      <c r="F76" s="3">
        <v>3</v>
      </c>
      <c r="G76" s="3">
        <v>603</v>
      </c>
      <c r="H76" s="3">
        <v>45</v>
      </c>
      <c r="I76" t="s">
        <v>32</v>
      </c>
      <c r="J76" t="s">
        <v>51</v>
      </c>
      <c r="K76" t="s">
        <v>20</v>
      </c>
      <c r="L76" t="s">
        <v>47</v>
      </c>
      <c r="M76" s="2">
        <v>0.15</v>
      </c>
      <c r="N76" t="s">
        <v>22</v>
      </c>
      <c r="O76" t="str">
        <f t="shared" si="3"/>
        <v>April</v>
      </c>
      <c r="P76" t="str">
        <f t="shared" si="2"/>
        <v>Adult</v>
      </c>
    </row>
    <row r="77" spans="1:16" x14ac:dyDescent="0.25">
      <c r="A77">
        <v>1076</v>
      </c>
      <c r="B77" s="1">
        <v>45137</v>
      </c>
      <c r="C77" t="s">
        <v>39</v>
      </c>
      <c r="D77" t="s">
        <v>40</v>
      </c>
      <c r="E77" s="3">
        <v>194</v>
      </c>
      <c r="F77" s="3">
        <v>4</v>
      </c>
      <c r="G77" s="3">
        <v>776</v>
      </c>
      <c r="H77" s="3">
        <v>36</v>
      </c>
      <c r="I77" t="s">
        <v>18</v>
      </c>
      <c r="J77" t="s">
        <v>26</v>
      </c>
      <c r="K77" t="s">
        <v>27</v>
      </c>
      <c r="L77" t="s">
        <v>34</v>
      </c>
      <c r="M77" s="2">
        <v>0.25</v>
      </c>
      <c r="N77" t="s">
        <v>29</v>
      </c>
      <c r="O77" t="str">
        <f t="shared" si="3"/>
        <v>July</v>
      </c>
      <c r="P77" t="str">
        <f t="shared" si="2"/>
        <v>Adult</v>
      </c>
    </row>
    <row r="78" spans="1:16" x14ac:dyDescent="0.25">
      <c r="A78">
        <v>1077</v>
      </c>
      <c r="B78" s="1">
        <v>45282</v>
      </c>
      <c r="C78" t="s">
        <v>39</v>
      </c>
      <c r="D78" t="s">
        <v>46</v>
      </c>
      <c r="E78" s="3">
        <v>1422</v>
      </c>
      <c r="F78" s="3">
        <v>3</v>
      </c>
      <c r="G78" s="3">
        <v>4266</v>
      </c>
      <c r="H78" s="3">
        <v>41</v>
      </c>
      <c r="I78" t="s">
        <v>32</v>
      </c>
      <c r="J78" t="s">
        <v>48</v>
      </c>
      <c r="K78" t="s">
        <v>33</v>
      </c>
      <c r="L78" t="s">
        <v>47</v>
      </c>
      <c r="M78" s="2">
        <v>0.3</v>
      </c>
      <c r="N78" t="s">
        <v>29</v>
      </c>
      <c r="O78" t="str">
        <f t="shared" si="3"/>
        <v>December</v>
      </c>
      <c r="P78" t="str">
        <f t="shared" si="2"/>
        <v>Adult</v>
      </c>
    </row>
    <row r="79" spans="1:16" x14ac:dyDescent="0.25">
      <c r="A79">
        <v>1078</v>
      </c>
      <c r="B79" s="1">
        <v>45205</v>
      </c>
      <c r="C79" t="s">
        <v>35</v>
      </c>
      <c r="D79" t="s">
        <v>74</v>
      </c>
      <c r="E79" s="3">
        <v>584</v>
      </c>
      <c r="F79" s="3">
        <v>4</v>
      </c>
      <c r="G79" s="3">
        <v>2336</v>
      </c>
      <c r="H79" s="3">
        <v>47</v>
      </c>
      <c r="I79" t="s">
        <v>18</v>
      </c>
      <c r="J79" t="s">
        <v>26</v>
      </c>
      <c r="K79" t="s">
        <v>33</v>
      </c>
      <c r="L79" t="s">
        <v>34</v>
      </c>
      <c r="M79" s="2">
        <v>0.2</v>
      </c>
      <c r="N79" t="s">
        <v>22</v>
      </c>
      <c r="O79" t="str">
        <f t="shared" si="3"/>
        <v>October</v>
      </c>
      <c r="P79" t="str">
        <f t="shared" si="2"/>
        <v>Adult</v>
      </c>
    </row>
    <row r="80" spans="1:16" x14ac:dyDescent="0.25">
      <c r="A80">
        <v>1079</v>
      </c>
      <c r="B80" s="1">
        <v>45109</v>
      </c>
      <c r="C80" t="s">
        <v>52</v>
      </c>
      <c r="D80" t="s">
        <v>65</v>
      </c>
      <c r="E80" s="3">
        <v>1239</v>
      </c>
      <c r="F80" s="3">
        <v>3</v>
      </c>
      <c r="G80" s="3">
        <v>3717</v>
      </c>
      <c r="H80" s="3">
        <v>39</v>
      </c>
      <c r="I80" t="s">
        <v>32</v>
      </c>
      <c r="J80" t="s">
        <v>43</v>
      </c>
      <c r="K80" t="s">
        <v>42</v>
      </c>
      <c r="L80" t="s">
        <v>47</v>
      </c>
      <c r="M80" s="2">
        <v>0.2</v>
      </c>
      <c r="N80" t="s">
        <v>29</v>
      </c>
      <c r="O80" t="str">
        <f t="shared" si="3"/>
        <v>July</v>
      </c>
      <c r="P80" t="str">
        <f t="shared" si="2"/>
        <v>Adult</v>
      </c>
    </row>
    <row r="81" spans="1:16" x14ac:dyDescent="0.25">
      <c r="A81">
        <v>1080</v>
      </c>
      <c r="B81" s="1">
        <v>45216</v>
      </c>
      <c r="C81" t="s">
        <v>52</v>
      </c>
      <c r="D81" t="s">
        <v>82</v>
      </c>
      <c r="E81" s="3">
        <v>1119</v>
      </c>
      <c r="F81" s="3">
        <v>3</v>
      </c>
      <c r="G81" s="3">
        <v>3357</v>
      </c>
      <c r="H81" s="3">
        <v>27</v>
      </c>
      <c r="I81" t="s">
        <v>32</v>
      </c>
      <c r="J81" t="s">
        <v>41</v>
      </c>
      <c r="K81" t="s">
        <v>33</v>
      </c>
      <c r="L81" t="s">
        <v>38</v>
      </c>
      <c r="M81" s="2">
        <v>0.2</v>
      </c>
      <c r="N81" t="s">
        <v>22</v>
      </c>
      <c r="O81" t="str">
        <f t="shared" si="3"/>
        <v>October</v>
      </c>
      <c r="P81" t="str">
        <f t="shared" si="2"/>
        <v>Young Adult</v>
      </c>
    </row>
    <row r="82" spans="1:16" x14ac:dyDescent="0.25">
      <c r="A82">
        <v>1081</v>
      </c>
      <c r="B82" s="1">
        <v>45090</v>
      </c>
      <c r="C82" t="s">
        <v>35</v>
      </c>
      <c r="D82" t="s">
        <v>72</v>
      </c>
      <c r="E82" s="3">
        <v>993</v>
      </c>
      <c r="F82" s="3">
        <v>5</v>
      </c>
      <c r="G82" s="3">
        <v>4965</v>
      </c>
      <c r="H82" s="3">
        <v>25</v>
      </c>
      <c r="I82" t="s">
        <v>32</v>
      </c>
      <c r="J82" t="s">
        <v>19</v>
      </c>
      <c r="K82" t="s">
        <v>42</v>
      </c>
      <c r="L82" t="s">
        <v>34</v>
      </c>
      <c r="M82" s="2">
        <v>0.1</v>
      </c>
      <c r="N82" t="s">
        <v>22</v>
      </c>
      <c r="O82" t="str">
        <f t="shared" si="3"/>
        <v>June</v>
      </c>
      <c r="P82" t="str">
        <f t="shared" si="2"/>
        <v>Young Adult</v>
      </c>
    </row>
    <row r="83" spans="1:16" x14ac:dyDescent="0.25">
      <c r="A83">
        <v>1082</v>
      </c>
      <c r="B83" s="1">
        <v>44953</v>
      </c>
      <c r="C83" t="s">
        <v>24</v>
      </c>
      <c r="D83" t="s">
        <v>80</v>
      </c>
      <c r="E83" s="3">
        <v>816</v>
      </c>
      <c r="F83" s="3">
        <v>2</v>
      </c>
      <c r="G83" s="3">
        <v>1632</v>
      </c>
      <c r="H83" s="3">
        <v>53</v>
      </c>
      <c r="I83" t="s">
        <v>18</v>
      </c>
      <c r="J83" t="s">
        <v>55</v>
      </c>
      <c r="K83" t="s">
        <v>20</v>
      </c>
      <c r="L83" t="s">
        <v>28</v>
      </c>
      <c r="M83" s="2">
        <v>0.05</v>
      </c>
      <c r="N83" t="s">
        <v>29</v>
      </c>
      <c r="O83" t="str">
        <f t="shared" si="3"/>
        <v>January</v>
      </c>
      <c r="P83" t="str">
        <f t="shared" si="2"/>
        <v>Middle-Aged</v>
      </c>
    </row>
    <row r="84" spans="1:16" x14ac:dyDescent="0.25">
      <c r="A84">
        <v>1083</v>
      </c>
      <c r="B84" s="1">
        <v>45025</v>
      </c>
      <c r="C84" t="s">
        <v>35</v>
      </c>
      <c r="D84" t="s">
        <v>74</v>
      </c>
      <c r="E84" s="3">
        <v>464</v>
      </c>
      <c r="F84" s="3">
        <v>1</v>
      </c>
      <c r="G84" s="3">
        <v>464</v>
      </c>
      <c r="H84" s="3">
        <v>46</v>
      </c>
      <c r="I84" t="s">
        <v>32</v>
      </c>
      <c r="J84" t="s">
        <v>58</v>
      </c>
      <c r="K84" t="s">
        <v>20</v>
      </c>
      <c r="L84" t="s">
        <v>28</v>
      </c>
      <c r="M84" s="2">
        <v>0.15</v>
      </c>
      <c r="N84" t="s">
        <v>22</v>
      </c>
      <c r="O84" t="str">
        <f t="shared" si="3"/>
        <v>April</v>
      </c>
      <c r="P84" t="str">
        <f t="shared" si="2"/>
        <v>Adult</v>
      </c>
    </row>
    <row r="85" spans="1:16" x14ac:dyDescent="0.25">
      <c r="A85">
        <v>1084</v>
      </c>
      <c r="B85" s="1">
        <v>45064</v>
      </c>
      <c r="C85" t="s">
        <v>24</v>
      </c>
      <c r="D85" t="s">
        <v>76</v>
      </c>
      <c r="E85" s="3">
        <v>1334</v>
      </c>
      <c r="F85" s="3">
        <v>1</v>
      </c>
      <c r="G85" s="3">
        <v>1334</v>
      </c>
      <c r="H85" s="3">
        <v>33</v>
      </c>
      <c r="I85" t="s">
        <v>32</v>
      </c>
      <c r="J85" t="s">
        <v>43</v>
      </c>
      <c r="K85" t="s">
        <v>37</v>
      </c>
      <c r="L85" t="s">
        <v>47</v>
      </c>
      <c r="M85" s="2">
        <v>0.25</v>
      </c>
      <c r="N85" t="s">
        <v>22</v>
      </c>
      <c r="O85" t="str">
        <f t="shared" si="3"/>
        <v>May</v>
      </c>
      <c r="P85" t="str">
        <f t="shared" si="2"/>
        <v>Adult</v>
      </c>
    </row>
    <row r="86" spans="1:16" x14ac:dyDescent="0.25">
      <c r="A86">
        <v>1085</v>
      </c>
      <c r="B86" s="1">
        <v>44998</v>
      </c>
      <c r="C86" t="s">
        <v>35</v>
      </c>
      <c r="D86" t="s">
        <v>72</v>
      </c>
      <c r="E86" s="3">
        <v>1231</v>
      </c>
      <c r="F86" s="3">
        <v>4</v>
      </c>
      <c r="G86" s="3">
        <v>4924</v>
      </c>
      <c r="H86" s="3">
        <v>40</v>
      </c>
      <c r="I86" t="s">
        <v>18</v>
      </c>
      <c r="J86" t="s">
        <v>51</v>
      </c>
      <c r="K86" t="s">
        <v>37</v>
      </c>
      <c r="L86" t="s">
        <v>34</v>
      </c>
      <c r="M86" s="2">
        <v>0.25</v>
      </c>
      <c r="N86" t="s">
        <v>29</v>
      </c>
      <c r="O86" t="str">
        <f t="shared" si="3"/>
        <v>March</v>
      </c>
      <c r="P86" t="str">
        <f t="shared" si="2"/>
        <v>Adult</v>
      </c>
    </row>
    <row r="87" spans="1:16" x14ac:dyDescent="0.25">
      <c r="A87">
        <v>1086</v>
      </c>
      <c r="B87" s="1">
        <v>45151</v>
      </c>
      <c r="C87" t="s">
        <v>35</v>
      </c>
      <c r="D87" t="s">
        <v>75</v>
      </c>
      <c r="E87" s="3">
        <v>1164</v>
      </c>
      <c r="F87" s="3">
        <v>2</v>
      </c>
      <c r="G87" s="3">
        <v>2328</v>
      </c>
      <c r="H87" s="3">
        <v>49</v>
      </c>
      <c r="I87" t="s">
        <v>32</v>
      </c>
      <c r="J87" t="s">
        <v>55</v>
      </c>
      <c r="K87" t="s">
        <v>45</v>
      </c>
      <c r="L87" t="s">
        <v>28</v>
      </c>
      <c r="M87" s="2">
        <v>0.15</v>
      </c>
      <c r="N87" t="s">
        <v>22</v>
      </c>
      <c r="O87" t="str">
        <f t="shared" si="3"/>
        <v>August</v>
      </c>
      <c r="P87" t="str">
        <f t="shared" si="2"/>
        <v>Adult</v>
      </c>
    </row>
    <row r="88" spans="1:16" x14ac:dyDescent="0.25">
      <c r="A88">
        <v>1087</v>
      </c>
      <c r="B88" s="1">
        <v>44950</v>
      </c>
      <c r="C88" t="s">
        <v>49</v>
      </c>
      <c r="D88" t="s">
        <v>64</v>
      </c>
      <c r="E88" s="3">
        <v>706</v>
      </c>
      <c r="F88" s="3">
        <v>5</v>
      </c>
      <c r="G88" s="3">
        <v>3530</v>
      </c>
      <c r="H88" s="3">
        <v>43</v>
      </c>
      <c r="I88" t="s">
        <v>18</v>
      </c>
      <c r="J88" t="s">
        <v>58</v>
      </c>
      <c r="K88" t="s">
        <v>45</v>
      </c>
      <c r="L88" t="s">
        <v>38</v>
      </c>
      <c r="M88" s="2">
        <v>0.1</v>
      </c>
      <c r="N88" t="s">
        <v>29</v>
      </c>
      <c r="O88" t="str">
        <f t="shared" si="3"/>
        <v>January</v>
      </c>
      <c r="P88" t="str">
        <f t="shared" si="2"/>
        <v>Adult</v>
      </c>
    </row>
    <row r="89" spans="1:16" x14ac:dyDescent="0.25">
      <c r="A89">
        <v>1088</v>
      </c>
      <c r="B89" s="1">
        <v>45327</v>
      </c>
      <c r="C89" t="s">
        <v>16</v>
      </c>
      <c r="D89" t="s">
        <v>62</v>
      </c>
      <c r="E89" s="3">
        <v>1321</v>
      </c>
      <c r="F89" s="3">
        <v>4</v>
      </c>
      <c r="G89" s="3">
        <v>5284</v>
      </c>
      <c r="H89" s="3">
        <v>46</v>
      </c>
      <c r="I89" t="s">
        <v>32</v>
      </c>
      <c r="J89" t="s">
        <v>60</v>
      </c>
      <c r="K89" t="s">
        <v>27</v>
      </c>
      <c r="L89" t="s">
        <v>28</v>
      </c>
      <c r="M89" s="2">
        <v>0.05</v>
      </c>
      <c r="N89" t="s">
        <v>29</v>
      </c>
      <c r="O89" t="str">
        <f t="shared" si="3"/>
        <v>February</v>
      </c>
      <c r="P89" t="str">
        <f t="shared" si="2"/>
        <v>Adult</v>
      </c>
    </row>
    <row r="90" spans="1:16" x14ac:dyDescent="0.25">
      <c r="A90">
        <v>1089</v>
      </c>
      <c r="B90" s="1">
        <v>44988</v>
      </c>
      <c r="C90" t="s">
        <v>39</v>
      </c>
      <c r="D90" t="s">
        <v>61</v>
      </c>
      <c r="E90" s="3">
        <v>732</v>
      </c>
      <c r="F90" s="3">
        <v>5</v>
      </c>
      <c r="G90" s="3">
        <v>3660</v>
      </c>
      <c r="H90" s="3">
        <v>29</v>
      </c>
      <c r="I90" t="s">
        <v>18</v>
      </c>
      <c r="J90" t="s">
        <v>41</v>
      </c>
      <c r="K90" t="s">
        <v>37</v>
      </c>
      <c r="L90" t="s">
        <v>38</v>
      </c>
      <c r="M90" s="2">
        <v>0.3</v>
      </c>
      <c r="N90" t="s">
        <v>29</v>
      </c>
      <c r="O90" t="str">
        <f t="shared" si="3"/>
        <v>March</v>
      </c>
      <c r="P90" t="str">
        <f t="shared" si="2"/>
        <v>Young Adult</v>
      </c>
    </row>
    <row r="91" spans="1:16" x14ac:dyDescent="0.25">
      <c r="A91">
        <v>1090</v>
      </c>
      <c r="B91" s="1">
        <v>44983</v>
      </c>
      <c r="C91" t="s">
        <v>24</v>
      </c>
      <c r="D91" t="s">
        <v>80</v>
      </c>
      <c r="E91" s="3">
        <v>1325</v>
      </c>
      <c r="F91" s="3">
        <v>2</v>
      </c>
      <c r="G91" s="3">
        <v>2650</v>
      </c>
      <c r="H91" s="3">
        <v>30</v>
      </c>
      <c r="I91" t="s">
        <v>32</v>
      </c>
      <c r="J91" t="s">
        <v>26</v>
      </c>
      <c r="K91" t="s">
        <v>20</v>
      </c>
      <c r="L91" t="s">
        <v>47</v>
      </c>
      <c r="M91" s="2">
        <v>0.15</v>
      </c>
      <c r="N91" t="s">
        <v>22</v>
      </c>
      <c r="O91" t="str">
        <f t="shared" si="3"/>
        <v>February</v>
      </c>
      <c r="P91" t="str">
        <f t="shared" si="2"/>
        <v>Adult</v>
      </c>
    </row>
    <row r="92" spans="1:16" x14ac:dyDescent="0.25">
      <c r="A92">
        <v>1091</v>
      </c>
      <c r="B92" s="1">
        <v>45018</v>
      </c>
      <c r="C92" t="s">
        <v>30</v>
      </c>
      <c r="D92" t="s">
        <v>69</v>
      </c>
      <c r="E92" s="3">
        <v>1026</v>
      </c>
      <c r="F92" s="3">
        <v>1</v>
      </c>
      <c r="G92" s="3">
        <v>1026</v>
      </c>
      <c r="H92" s="3">
        <v>30</v>
      </c>
      <c r="I92" t="s">
        <v>32</v>
      </c>
      <c r="J92" t="s">
        <v>19</v>
      </c>
      <c r="K92" t="s">
        <v>37</v>
      </c>
      <c r="L92" t="s">
        <v>47</v>
      </c>
      <c r="M92" s="2">
        <v>0.15</v>
      </c>
      <c r="N92" t="s">
        <v>22</v>
      </c>
      <c r="O92" t="str">
        <f t="shared" si="3"/>
        <v>April</v>
      </c>
      <c r="P92" t="str">
        <f t="shared" si="2"/>
        <v>Adult</v>
      </c>
    </row>
    <row r="93" spans="1:16" x14ac:dyDescent="0.25">
      <c r="A93">
        <v>1092</v>
      </c>
      <c r="B93" s="1">
        <v>45204</v>
      </c>
      <c r="C93" t="s">
        <v>39</v>
      </c>
      <c r="D93" t="s">
        <v>78</v>
      </c>
      <c r="E93" s="3">
        <v>923</v>
      </c>
      <c r="F93" s="3">
        <v>4</v>
      </c>
      <c r="G93" s="3">
        <v>3692</v>
      </c>
      <c r="H93" s="3">
        <v>59</v>
      </c>
      <c r="I93" t="s">
        <v>18</v>
      </c>
      <c r="J93" t="s">
        <v>26</v>
      </c>
      <c r="K93" t="s">
        <v>20</v>
      </c>
      <c r="L93" t="s">
        <v>28</v>
      </c>
      <c r="M93" s="2">
        <v>0.05</v>
      </c>
      <c r="N93" t="s">
        <v>22</v>
      </c>
      <c r="O93" t="str">
        <f t="shared" si="3"/>
        <v>October</v>
      </c>
      <c r="P93" t="str">
        <f t="shared" si="2"/>
        <v>Middle-Aged</v>
      </c>
    </row>
    <row r="94" spans="1:16" x14ac:dyDescent="0.25">
      <c r="A94">
        <v>1093</v>
      </c>
      <c r="B94" s="1">
        <v>45269</v>
      </c>
      <c r="C94" t="s">
        <v>30</v>
      </c>
      <c r="D94" t="s">
        <v>44</v>
      </c>
      <c r="E94" s="3">
        <v>665</v>
      </c>
      <c r="F94" s="3">
        <v>2</v>
      </c>
      <c r="G94" s="3">
        <v>1330</v>
      </c>
      <c r="H94" s="3">
        <v>59</v>
      </c>
      <c r="I94" t="s">
        <v>18</v>
      </c>
      <c r="J94" t="s">
        <v>60</v>
      </c>
      <c r="K94" t="s">
        <v>27</v>
      </c>
      <c r="L94" t="s">
        <v>28</v>
      </c>
      <c r="M94" s="2">
        <v>0.25</v>
      </c>
      <c r="N94" t="s">
        <v>22</v>
      </c>
      <c r="O94" t="str">
        <f t="shared" si="3"/>
        <v>December</v>
      </c>
      <c r="P94" t="str">
        <f t="shared" si="2"/>
        <v>Middle-Aged</v>
      </c>
    </row>
    <row r="95" spans="1:16" x14ac:dyDescent="0.25">
      <c r="A95">
        <v>1094</v>
      </c>
      <c r="B95" s="1">
        <v>45198</v>
      </c>
      <c r="C95" t="s">
        <v>16</v>
      </c>
      <c r="D95" t="s">
        <v>56</v>
      </c>
      <c r="E95" s="3">
        <v>410</v>
      </c>
      <c r="F95" s="3">
        <v>1</v>
      </c>
      <c r="G95" s="3">
        <v>410</v>
      </c>
      <c r="H95" s="3">
        <v>43</v>
      </c>
      <c r="I95" t="s">
        <v>32</v>
      </c>
      <c r="J95" t="s">
        <v>48</v>
      </c>
      <c r="K95" t="s">
        <v>27</v>
      </c>
      <c r="L95" t="s">
        <v>47</v>
      </c>
      <c r="M95" s="2">
        <v>0.3</v>
      </c>
      <c r="N95" t="s">
        <v>29</v>
      </c>
      <c r="O95" t="str">
        <f t="shared" si="3"/>
        <v>September</v>
      </c>
      <c r="P95" t="str">
        <f t="shared" si="2"/>
        <v>Adult</v>
      </c>
    </row>
    <row r="96" spans="1:16" x14ac:dyDescent="0.25">
      <c r="A96">
        <v>1095</v>
      </c>
      <c r="B96" s="1">
        <v>45108</v>
      </c>
      <c r="C96" t="s">
        <v>24</v>
      </c>
      <c r="D96" t="s">
        <v>76</v>
      </c>
      <c r="E96" s="3">
        <v>1497</v>
      </c>
      <c r="F96" s="3">
        <v>3</v>
      </c>
      <c r="G96" s="3">
        <v>4491</v>
      </c>
      <c r="H96" s="3">
        <v>48</v>
      </c>
      <c r="I96" t="s">
        <v>32</v>
      </c>
      <c r="J96" t="s">
        <v>55</v>
      </c>
      <c r="K96" t="s">
        <v>42</v>
      </c>
      <c r="L96" t="s">
        <v>28</v>
      </c>
      <c r="M96" s="2">
        <v>0.2</v>
      </c>
      <c r="N96" t="s">
        <v>22</v>
      </c>
      <c r="O96" t="str">
        <f t="shared" si="3"/>
        <v>July</v>
      </c>
      <c r="P96" t="str">
        <f t="shared" si="2"/>
        <v>Adult</v>
      </c>
    </row>
    <row r="97" spans="1:16" x14ac:dyDescent="0.25">
      <c r="A97">
        <v>1096</v>
      </c>
      <c r="B97" s="1">
        <v>45097</v>
      </c>
      <c r="C97" t="s">
        <v>39</v>
      </c>
      <c r="D97" t="s">
        <v>61</v>
      </c>
      <c r="E97" s="3">
        <v>169</v>
      </c>
      <c r="F97" s="3">
        <v>5</v>
      </c>
      <c r="G97" s="3">
        <v>845</v>
      </c>
      <c r="H97" s="3">
        <v>50</v>
      </c>
      <c r="I97" t="s">
        <v>32</v>
      </c>
      <c r="J97" t="s">
        <v>60</v>
      </c>
      <c r="K97" t="s">
        <v>37</v>
      </c>
      <c r="L97" t="s">
        <v>38</v>
      </c>
      <c r="M97" s="2">
        <v>0.2</v>
      </c>
      <c r="N97" t="s">
        <v>29</v>
      </c>
      <c r="O97" t="str">
        <f t="shared" si="3"/>
        <v>June</v>
      </c>
      <c r="P97" t="str">
        <f t="shared" si="2"/>
        <v>Middle-Aged</v>
      </c>
    </row>
    <row r="98" spans="1:16" x14ac:dyDescent="0.25">
      <c r="A98">
        <v>1097</v>
      </c>
      <c r="B98" s="1">
        <v>45210</v>
      </c>
      <c r="C98" t="s">
        <v>16</v>
      </c>
      <c r="D98" t="s">
        <v>83</v>
      </c>
      <c r="E98" s="3">
        <v>1396</v>
      </c>
      <c r="F98" s="3">
        <v>3</v>
      </c>
      <c r="G98" s="3">
        <v>4188</v>
      </c>
      <c r="H98" s="3">
        <v>55</v>
      </c>
      <c r="I98" t="s">
        <v>18</v>
      </c>
      <c r="J98" t="s">
        <v>43</v>
      </c>
      <c r="K98" t="s">
        <v>20</v>
      </c>
      <c r="L98" t="s">
        <v>34</v>
      </c>
      <c r="M98" s="2">
        <v>0.25</v>
      </c>
      <c r="N98" t="s">
        <v>22</v>
      </c>
      <c r="O98" t="str">
        <f t="shared" si="3"/>
        <v>October</v>
      </c>
      <c r="P98" t="str">
        <f t="shared" si="2"/>
        <v>Middle-Aged</v>
      </c>
    </row>
    <row r="99" spans="1:16" x14ac:dyDescent="0.25">
      <c r="A99">
        <v>1098</v>
      </c>
      <c r="B99" s="1">
        <v>45307</v>
      </c>
      <c r="C99" t="s">
        <v>39</v>
      </c>
      <c r="D99" t="s">
        <v>46</v>
      </c>
      <c r="E99" s="3">
        <v>311</v>
      </c>
      <c r="F99" s="3">
        <v>3</v>
      </c>
      <c r="G99" s="3">
        <v>933</v>
      </c>
      <c r="H99" s="3">
        <v>26</v>
      </c>
      <c r="I99" t="s">
        <v>18</v>
      </c>
      <c r="J99" t="s">
        <v>26</v>
      </c>
      <c r="K99" t="s">
        <v>27</v>
      </c>
      <c r="L99" t="s">
        <v>21</v>
      </c>
      <c r="M99" s="2">
        <v>0.3</v>
      </c>
      <c r="N99" t="s">
        <v>29</v>
      </c>
      <c r="O99" t="str">
        <f t="shared" si="3"/>
        <v>January</v>
      </c>
      <c r="P99" t="str">
        <f t="shared" si="2"/>
        <v>Young Adult</v>
      </c>
    </row>
    <row r="100" spans="1:16" x14ac:dyDescent="0.25">
      <c r="A100">
        <v>1099</v>
      </c>
      <c r="B100" s="1">
        <v>45070</v>
      </c>
      <c r="C100" t="s">
        <v>35</v>
      </c>
      <c r="D100" t="s">
        <v>36</v>
      </c>
      <c r="E100" s="3">
        <v>1291</v>
      </c>
      <c r="F100" s="3">
        <v>1</v>
      </c>
      <c r="G100" s="3">
        <v>1291</v>
      </c>
      <c r="H100" s="3">
        <v>47</v>
      </c>
      <c r="I100" t="s">
        <v>32</v>
      </c>
      <c r="J100" t="s">
        <v>51</v>
      </c>
      <c r="K100" t="s">
        <v>20</v>
      </c>
      <c r="L100" t="s">
        <v>34</v>
      </c>
      <c r="M100" s="2">
        <v>0.05</v>
      </c>
      <c r="N100" t="s">
        <v>29</v>
      </c>
      <c r="O100" t="str">
        <f t="shared" si="3"/>
        <v>May</v>
      </c>
      <c r="P100" t="str">
        <f t="shared" si="2"/>
        <v>Adult</v>
      </c>
    </row>
    <row r="101" spans="1:16" x14ac:dyDescent="0.25">
      <c r="A101">
        <v>1100</v>
      </c>
      <c r="B101" s="1">
        <v>45326</v>
      </c>
      <c r="C101" t="s">
        <v>39</v>
      </c>
      <c r="D101" t="s">
        <v>78</v>
      </c>
      <c r="E101" s="3">
        <v>1492</v>
      </c>
      <c r="F101" s="3">
        <v>1</v>
      </c>
      <c r="G101" s="3">
        <v>1492</v>
      </c>
      <c r="H101" s="3">
        <v>44</v>
      </c>
      <c r="I101" t="s">
        <v>18</v>
      </c>
      <c r="J101" t="s">
        <v>41</v>
      </c>
      <c r="K101" t="s">
        <v>20</v>
      </c>
      <c r="L101" t="s">
        <v>47</v>
      </c>
      <c r="M101" s="2">
        <v>0.2</v>
      </c>
      <c r="N101" t="s">
        <v>22</v>
      </c>
      <c r="O101" t="str">
        <f t="shared" si="3"/>
        <v>February</v>
      </c>
      <c r="P101" t="str">
        <f t="shared" si="2"/>
        <v>Adult</v>
      </c>
    </row>
    <row r="102" spans="1:16" x14ac:dyDescent="0.25">
      <c r="A102">
        <v>1101</v>
      </c>
      <c r="B102" s="1">
        <v>45227</v>
      </c>
      <c r="C102" t="s">
        <v>49</v>
      </c>
      <c r="D102" t="s">
        <v>81</v>
      </c>
      <c r="E102" s="3">
        <v>1369</v>
      </c>
      <c r="F102" s="3">
        <v>5</v>
      </c>
      <c r="G102" s="3">
        <v>6845</v>
      </c>
      <c r="H102" s="3">
        <v>18</v>
      </c>
      <c r="I102" t="s">
        <v>18</v>
      </c>
      <c r="J102" t="s">
        <v>48</v>
      </c>
      <c r="K102" t="s">
        <v>45</v>
      </c>
      <c r="L102" t="s">
        <v>21</v>
      </c>
      <c r="M102" s="2">
        <v>0.1</v>
      </c>
      <c r="N102" t="s">
        <v>22</v>
      </c>
      <c r="O102" t="str">
        <f t="shared" si="3"/>
        <v>October</v>
      </c>
      <c r="P102" t="str">
        <f t="shared" si="2"/>
        <v>Young Adult</v>
      </c>
    </row>
    <row r="103" spans="1:16" x14ac:dyDescent="0.25">
      <c r="A103">
        <v>1102</v>
      </c>
      <c r="B103" s="1">
        <v>45064</v>
      </c>
      <c r="C103" t="s">
        <v>35</v>
      </c>
      <c r="D103" t="s">
        <v>36</v>
      </c>
      <c r="E103" s="3">
        <v>1218</v>
      </c>
      <c r="F103" s="3">
        <v>2</v>
      </c>
      <c r="G103" s="3">
        <v>2436</v>
      </c>
      <c r="H103" s="3">
        <v>36</v>
      </c>
      <c r="I103" t="s">
        <v>18</v>
      </c>
      <c r="J103" t="s">
        <v>63</v>
      </c>
      <c r="K103" t="s">
        <v>37</v>
      </c>
      <c r="L103" t="s">
        <v>21</v>
      </c>
      <c r="M103" s="2">
        <v>0.1</v>
      </c>
      <c r="N103" t="s">
        <v>22</v>
      </c>
      <c r="O103" t="str">
        <f t="shared" si="3"/>
        <v>May</v>
      </c>
      <c r="P103" t="str">
        <f t="shared" si="2"/>
        <v>Adult</v>
      </c>
    </row>
    <row r="104" spans="1:16" x14ac:dyDescent="0.25">
      <c r="A104">
        <v>1103</v>
      </c>
      <c r="B104" s="1">
        <v>45036</v>
      </c>
      <c r="C104" t="s">
        <v>35</v>
      </c>
      <c r="D104" t="s">
        <v>70</v>
      </c>
      <c r="E104" s="3">
        <v>726</v>
      </c>
      <c r="F104" s="3">
        <v>4</v>
      </c>
      <c r="G104" s="3">
        <v>2904</v>
      </c>
      <c r="H104" s="3">
        <v>29</v>
      </c>
      <c r="I104" t="s">
        <v>32</v>
      </c>
      <c r="J104" t="s">
        <v>60</v>
      </c>
      <c r="K104" t="s">
        <v>20</v>
      </c>
      <c r="L104" t="s">
        <v>34</v>
      </c>
      <c r="M104" s="2">
        <v>0.15</v>
      </c>
      <c r="N104" t="s">
        <v>29</v>
      </c>
      <c r="O104" t="str">
        <f t="shared" si="3"/>
        <v>April</v>
      </c>
      <c r="P104" t="str">
        <f t="shared" si="2"/>
        <v>Young Adult</v>
      </c>
    </row>
    <row r="105" spans="1:16" x14ac:dyDescent="0.25">
      <c r="A105">
        <v>1104</v>
      </c>
      <c r="B105" s="1">
        <v>45102</v>
      </c>
      <c r="C105" t="s">
        <v>52</v>
      </c>
      <c r="D105" t="s">
        <v>82</v>
      </c>
      <c r="E105" s="3">
        <v>787</v>
      </c>
      <c r="F105" s="3">
        <v>4</v>
      </c>
      <c r="G105" s="3">
        <v>3148</v>
      </c>
      <c r="H105" s="3">
        <v>57</v>
      </c>
      <c r="I105" t="s">
        <v>18</v>
      </c>
      <c r="J105" t="s">
        <v>55</v>
      </c>
      <c r="K105" t="s">
        <v>42</v>
      </c>
      <c r="L105" t="s">
        <v>34</v>
      </c>
      <c r="M105" s="2">
        <v>0.2</v>
      </c>
      <c r="N105" t="s">
        <v>29</v>
      </c>
      <c r="O105" t="str">
        <f t="shared" si="3"/>
        <v>June</v>
      </c>
      <c r="P105" t="str">
        <f t="shared" si="2"/>
        <v>Middle-Aged</v>
      </c>
    </row>
    <row r="106" spans="1:16" x14ac:dyDescent="0.25">
      <c r="A106">
        <v>1105</v>
      </c>
      <c r="B106" s="1">
        <v>44948</v>
      </c>
      <c r="C106" t="s">
        <v>30</v>
      </c>
      <c r="D106" t="s">
        <v>69</v>
      </c>
      <c r="E106" s="3">
        <v>226</v>
      </c>
      <c r="F106" s="3">
        <v>2</v>
      </c>
      <c r="G106" s="3">
        <v>452</v>
      </c>
      <c r="H106" s="3">
        <v>45</v>
      </c>
      <c r="I106" t="s">
        <v>18</v>
      </c>
      <c r="J106" t="s">
        <v>58</v>
      </c>
      <c r="K106" t="s">
        <v>20</v>
      </c>
      <c r="L106" t="s">
        <v>34</v>
      </c>
      <c r="M106" s="2">
        <v>0.1</v>
      </c>
      <c r="N106" t="s">
        <v>22</v>
      </c>
      <c r="O106" t="str">
        <f t="shared" si="3"/>
        <v>January</v>
      </c>
      <c r="P106" t="str">
        <f t="shared" si="2"/>
        <v>Adult</v>
      </c>
    </row>
    <row r="107" spans="1:16" x14ac:dyDescent="0.25">
      <c r="A107">
        <v>1106</v>
      </c>
      <c r="B107" s="1">
        <v>45016</v>
      </c>
      <c r="C107" t="s">
        <v>49</v>
      </c>
      <c r="D107" t="s">
        <v>64</v>
      </c>
      <c r="E107" s="3">
        <v>1396</v>
      </c>
      <c r="F107" s="3">
        <v>3</v>
      </c>
      <c r="G107" s="3">
        <v>4188</v>
      </c>
      <c r="H107" s="3">
        <v>20</v>
      </c>
      <c r="I107" t="s">
        <v>32</v>
      </c>
      <c r="J107" t="s">
        <v>41</v>
      </c>
      <c r="K107" t="s">
        <v>42</v>
      </c>
      <c r="L107" t="s">
        <v>47</v>
      </c>
      <c r="M107" s="2">
        <v>0.3</v>
      </c>
      <c r="N107" t="s">
        <v>29</v>
      </c>
      <c r="O107" t="str">
        <f t="shared" si="3"/>
        <v>March</v>
      </c>
      <c r="P107" t="str">
        <f t="shared" si="2"/>
        <v>Young Adult</v>
      </c>
    </row>
    <row r="108" spans="1:16" x14ac:dyDescent="0.25">
      <c r="A108">
        <v>1107</v>
      </c>
      <c r="B108" s="1">
        <v>45142</v>
      </c>
      <c r="C108" t="s">
        <v>39</v>
      </c>
      <c r="D108" t="s">
        <v>40</v>
      </c>
      <c r="E108" s="3">
        <v>822</v>
      </c>
      <c r="F108" s="3">
        <v>4</v>
      </c>
      <c r="G108" s="3">
        <v>3288</v>
      </c>
      <c r="H108" s="3">
        <v>32</v>
      </c>
      <c r="I108" t="s">
        <v>18</v>
      </c>
      <c r="J108" t="s">
        <v>41</v>
      </c>
      <c r="K108" t="s">
        <v>45</v>
      </c>
      <c r="L108" t="s">
        <v>47</v>
      </c>
      <c r="M108" s="2">
        <v>0.2</v>
      </c>
      <c r="N108" t="s">
        <v>29</v>
      </c>
      <c r="O108" t="str">
        <f t="shared" si="3"/>
        <v>August</v>
      </c>
      <c r="P108" t="str">
        <f t="shared" si="2"/>
        <v>Adult</v>
      </c>
    </row>
    <row r="109" spans="1:16" x14ac:dyDescent="0.25">
      <c r="A109">
        <v>1108</v>
      </c>
      <c r="B109" s="1">
        <v>45082</v>
      </c>
      <c r="C109" t="s">
        <v>35</v>
      </c>
      <c r="D109" t="s">
        <v>75</v>
      </c>
      <c r="E109" s="3">
        <v>125</v>
      </c>
      <c r="F109" s="3">
        <v>5</v>
      </c>
      <c r="G109" s="3">
        <v>625</v>
      </c>
      <c r="H109" s="3">
        <v>38</v>
      </c>
      <c r="I109" t="s">
        <v>32</v>
      </c>
      <c r="J109" t="s">
        <v>43</v>
      </c>
      <c r="K109" t="s">
        <v>33</v>
      </c>
      <c r="L109" t="s">
        <v>38</v>
      </c>
      <c r="M109" s="2">
        <v>0.15</v>
      </c>
      <c r="N109" t="s">
        <v>29</v>
      </c>
      <c r="O109" t="str">
        <f t="shared" si="3"/>
        <v>June</v>
      </c>
      <c r="P109" t="str">
        <f t="shared" si="2"/>
        <v>Adult</v>
      </c>
    </row>
    <row r="110" spans="1:16" x14ac:dyDescent="0.25">
      <c r="A110">
        <v>1109</v>
      </c>
      <c r="B110" s="1">
        <v>45206</v>
      </c>
      <c r="C110" t="s">
        <v>49</v>
      </c>
      <c r="D110" t="s">
        <v>50</v>
      </c>
      <c r="E110" s="3">
        <v>1362</v>
      </c>
      <c r="F110" s="3">
        <v>4</v>
      </c>
      <c r="G110" s="3">
        <v>5448</v>
      </c>
      <c r="H110" s="3">
        <v>35</v>
      </c>
      <c r="I110" t="s">
        <v>32</v>
      </c>
      <c r="J110" t="s">
        <v>43</v>
      </c>
      <c r="K110" t="s">
        <v>27</v>
      </c>
      <c r="L110" t="s">
        <v>28</v>
      </c>
      <c r="M110" s="2">
        <v>0.1</v>
      </c>
      <c r="N110" t="s">
        <v>29</v>
      </c>
      <c r="O110" t="str">
        <f t="shared" si="3"/>
        <v>October</v>
      </c>
      <c r="P110" t="str">
        <f t="shared" si="2"/>
        <v>Adult</v>
      </c>
    </row>
    <row r="111" spans="1:16" x14ac:dyDescent="0.25">
      <c r="A111">
        <v>1110</v>
      </c>
      <c r="B111" s="1">
        <v>45207</v>
      </c>
      <c r="C111" t="s">
        <v>39</v>
      </c>
      <c r="D111" t="s">
        <v>78</v>
      </c>
      <c r="E111" s="3">
        <v>693</v>
      </c>
      <c r="F111" s="3">
        <v>2</v>
      </c>
      <c r="G111" s="3">
        <v>1386</v>
      </c>
      <c r="H111" s="3">
        <v>31</v>
      </c>
      <c r="I111" t="s">
        <v>32</v>
      </c>
      <c r="J111" t="s">
        <v>41</v>
      </c>
      <c r="K111" t="s">
        <v>20</v>
      </c>
      <c r="L111" t="s">
        <v>34</v>
      </c>
      <c r="M111" s="2">
        <v>0.05</v>
      </c>
      <c r="N111" t="s">
        <v>22</v>
      </c>
      <c r="O111" t="str">
        <f t="shared" si="3"/>
        <v>October</v>
      </c>
      <c r="P111" t="str">
        <f t="shared" si="2"/>
        <v>Adult</v>
      </c>
    </row>
    <row r="112" spans="1:16" x14ac:dyDescent="0.25">
      <c r="A112">
        <v>1111</v>
      </c>
      <c r="B112" s="1">
        <v>45293</v>
      </c>
      <c r="C112" t="s">
        <v>35</v>
      </c>
      <c r="D112" t="s">
        <v>72</v>
      </c>
      <c r="E112" s="3">
        <v>940</v>
      </c>
      <c r="F112" s="3">
        <v>4</v>
      </c>
      <c r="G112" s="3">
        <v>3760</v>
      </c>
      <c r="H112" s="3">
        <v>31</v>
      </c>
      <c r="I112" t="s">
        <v>18</v>
      </c>
      <c r="J112" t="s">
        <v>58</v>
      </c>
      <c r="K112" t="s">
        <v>45</v>
      </c>
      <c r="L112" t="s">
        <v>21</v>
      </c>
      <c r="M112" s="2">
        <v>0.1</v>
      </c>
      <c r="N112" t="s">
        <v>29</v>
      </c>
      <c r="O112" t="str">
        <f t="shared" si="3"/>
        <v>January</v>
      </c>
      <c r="P112" t="str">
        <f t="shared" si="2"/>
        <v>Adult</v>
      </c>
    </row>
    <row r="113" spans="1:16" x14ac:dyDescent="0.25">
      <c r="A113">
        <v>1112</v>
      </c>
      <c r="B113" s="1">
        <v>44979</v>
      </c>
      <c r="C113" t="s">
        <v>24</v>
      </c>
      <c r="D113" t="s">
        <v>25</v>
      </c>
      <c r="E113" s="3">
        <v>1205</v>
      </c>
      <c r="F113" s="3">
        <v>5</v>
      </c>
      <c r="G113" s="3">
        <v>6025</v>
      </c>
      <c r="H113" s="3">
        <v>21</v>
      </c>
      <c r="I113" t="s">
        <v>32</v>
      </c>
      <c r="J113" t="s">
        <v>58</v>
      </c>
      <c r="K113" t="s">
        <v>45</v>
      </c>
      <c r="L113" t="s">
        <v>28</v>
      </c>
      <c r="M113" s="2">
        <v>0.2</v>
      </c>
      <c r="N113" t="s">
        <v>22</v>
      </c>
      <c r="O113" t="str">
        <f t="shared" si="3"/>
        <v>February</v>
      </c>
      <c r="P113" t="str">
        <f t="shared" si="2"/>
        <v>Young Adult</v>
      </c>
    </row>
    <row r="114" spans="1:16" x14ac:dyDescent="0.25">
      <c r="A114">
        <v>1113</v>
      </c>
      <c r="B114" s="1">
        <v>45039</v>
      </c>
      <c r="C114" t="s">
        <v>16</v>
      </c>
      <c r="D114" t="s">
        <v>62</v>
      </c>
      <c r="E114" s="3">
        <v>1445</v>
      </c>
      <c r="F114" s="3">
        <v>4</v>
      </c>
      <c r="G114" s="3">
        <v>5780</v>
      </c>
      <c r="H114" s="3">
        <v>55</v>
      </c>
      <c r="I114" t="s">
        <v>18</v>
      </c>
      <c r="J114" t="s">
        <v>63</v>
      </c>
      <c r="K114" t="s">
        <v>33</v>
      </c>
      <c r="L114" t="s">
        <v>34</v>
      </c>
      <c r="M114" s="2">
        <v>0.3</v>
      </c>
      <c r="N114" t="s">
        <v>29</v>
      </c>
      <c r="O114" t="str">
        <f t="shared" si="3"/>
        <v>April</v>
      </c>
      <c r="P114" t="str">
        <f t="shared" si="2"/>
        <v>Middle-Aged</v>
      </c>
    </row>
    <row r="115" spans="1:16" x14ac:dyDescent="0.25">
      <c r="A115">
        <v>1114</v>
      </c>
      <c r="B115" s="1">
        <v>45245</v>
      </c>
      <c r="C115" t="s">
        <v>39</v>
      </c>
      <c r="D115" t="s">
        <v>46</v>
      </c>
      <c r="E115" s="3">
        <v>224</v>
      </c>
      <c r="F115" s="3">
        <v>5</v>
      </c>
      <c r="G115" s="3">
        <v>1120</v>
      </c>
      <c r="H115" s="3">
        <v>32</v>
      </c>
      <c r="I115" t="s">
        <v>32</v>
      </c>
      <c r="J115" t="s">
        <v>55</v>
      </c>
      <c r="K115" t="s">
        <v>37</v>
      </c>
      <c r="L115" t="s">
        <v>21</v>
      </c>
      <c r="M115" s="2">
        <v>0.1</v>
      </c>
      <c r="N115" t="s">
        <v>22</v>
      </c>
      <c r="O115" t="str">
        <f t="shared" si="3"/>
        <v>November</v>
      </c>
      <c r="P115" t="str">
        <f t="shared" si="2"/>
        <v>Adult</v>
      </c>
    </row>
    <row r="116" spans="1:16" x14ac:dyDescent="0.25">
      <c r="A116">
        <v>1115</v>
      </c>
      <c r="B116" s="1">
        <v>45006</v>
      </c>
      <c r="C116" t="s">
        <v>35</v>
      </c>
      <c r="D116" t="s">
        <v>70</v>
      </c>
      <c r="E116" s="3">
        <v>241</v>
      </c>
      <c r="F116" s="3">
        <v>5</v>
      </c>
      <c r="G116" s="3">
        <v>1205</v>
      </c>
      <c r="H116" s="3">
        <v>41</v>
      </c>
      <c r="I116" t="s">
        <v>32</v>
      </c>
      <c r="J116" t="s">
        <v>48</v>
      </c>
      <c r="K116" t="s">
        <v>33</v>
      </c>
      <c r="L116" t="s">
        <v>34</v>
      </c>
      <c r="M116" s="2">
        <v>0.15</v>
      </c>
      <c r="N116" t="s">
        <v>29</v>
      </c>
      <c r="O116" t="str">
        <f t="shared" si="3"/>
        <v>March</v>
      </c>
      <c r="P116" t="str">
        <f t="shared" si="2"/>
        <v>Adult</v>
      </c>
    </row>
    <row r="117" spans="1:16" x14ac:dyDescent="0.25">
      <c r="A117">
        <v>1116</v>
      </c>
      <c r="B117" s="1">
        <v>44955</v>
      </c>
      <c r="C117" t="s">
        <v>35</v>
      </c>
      <c r="D117" t="s">
        <v>70</v>
      </c>
      <c r="E117" s="3">
        <v>218</v>
      </c>
      <c r="F117" s="3">
        <v>5</v>
      </c>
      <c r="G117" s="3">
        <v>1090</v>
      </c>
      <c r="H117" s="3">
        <v>46</v>
      </c>
      <c r="I117" t="s">
        <v>32</v>
      </c>
      <c r="J117" t="s">
        <v>19</v>
      </c>
      <c r="K117" t="s">
        <v>45</v>
      </c>
      <c r="L117" t="s">
        <v>28</v>
      </c>
      <c r="M117" s="2">
        <v>0.25</v>
      </c>
      <c r="N117" t="s">
        <v>29</v>
      </c>
      <c r="O117" t="str">
        <f t="shared" si="3"/>
        <v>January</v>
      </c>
      <c r="P117" t="str">
        <f t="shared" si="2"/>
        <v>Adult</v>
      </c>
    </row>
    <row r="118" spans="1:16" x14ac:dyDescent="0.25">
      <c r="A118">
        <v>1117</v>
      </c>
      <c r="B118" s="1">
        <v>45025</v>
      </c>
      <c r="C118" t="s">
        <v>16</v>
      </c>
      <c r="D118" t="s">
        <v>71</v>
      </c>
      <c r="E118" s="3">
        <v>1297</v>
      </c>
      <c r="F118" s="3">
        <v>5</v>
      </c>
      <c r="G118" s="3">
        <v>6485</v>
      </c>
      <c r="H118" s="3">
        <v>19</v>
      </c>
      <c r="I118" t="s">
        <v>32</v>
      </c>
      <c r="J118" t="s">
        <v>58</v>
      </c>
      <c r="K118" t="s">
        <v>33</v>
      </c>
      <c r="L118" t="s">
        <v>38</v>
      </c>
      <c r="M118" s="2">
        <v>0.3</v>
      </c>
      <c r="N118" t="s">
        <v>29</v>
      </c>
      <c r="O118" t="str">
        <f t="shared" si="3"/>
        <v>April</v>
      </c>
      <c r="P118" t="str">
        <f t="shared" si="2"/>
        <v>Young Adult</v>
      </c>
    </row>
    <row r="119" spans="1:16" x14ac:dyDescent="0.25">
      <c r="A119">
        <v>1118</v>
      </c>
      <c r="B119" s="1">
        <v>45298</v>
      </c>
      <c r="C119" t="s">
        <v>30</v>
      </c>
      <c r="D119" t="s">
        <v>69</v>
      </c>
      <c r="E119" s="3">
        <v>168</v>
      </c>
      <c r="F119" s="3">
        <v>5</v>
      </c>
      <c r="G119" s="3">
        <v>840</v>
      </c>
      <c r="H119" s="3">
        <v>40</v>
      </c>
      <c r="I119" t="s">
        <v>18</v>
      </c>
      <c r="J119" t="s">
        <v>43</v>
      </c>
      <c r="K119" t="s">
        <v>20</v>
      </c>
      <c r="L119" t="s">
        <v>28</v>
      </c>
      <c r="M119" s="2">
        <v>0.15</v>
      </c>
      <c r="N119" t="s">
        <v>29</v>
      </c>
      <c r="O119" t="str">
        <f t="shared" si="3"/>
        <v>January</v>
      </c>
      <c r="P119" t="str">
        <f t="shared" si="2"/>
        <v>Adult</v>
      </c>
    </row>
    <row r="120" spans="1:16" x14ac:dyDescent="0.25">
      <c r="A120">
        <v>1119</v>
      </c>
      <c r="B120" s="1">
        <v>44956</v>
      </c>
      <c r="C120" t="s">
        <v>52</v>
      </c>
      <c r="D120" t="s">
        <v>82</v>
      </c>
      <c r="E120" s="3">
        <v>70</v>
      </c>
      <c r="F120" s="3">
        <v>1</v>
      </c>
      <c r="G120" s="3">
        <v>70</v>
      </c>
      <c r="H120" s="3">
        <v>22</v>
      </c>
      <c r="I120" t="s">
        <v>18</v>
      </c>
      <c r="J120" t="s">
        <v>43</v>
      </c>
      <c r="K120" t="s">
        <v>33</v>
      </c>
      <c r="L120" t="s">
        <v>21</v>
      </c>
      <c r="M120" s="2">
        <v>0.25</v>
      </c>
      <c r="N120" t="s">
        <v>29</v>
      </c>
      <c r="O120" t="str">
        <f t="shared" si="3"/>
        <v>January</v>
      </c>
      <c r="P120" t="str">
        <f t="shared" si="2"/>
        <v>Young Adult</v>
      </c>
    </row>
    <row r="121" spans="1:16" x14ac:dyDescent="0.25">
      <c r="A121">
        <v>1120</v>
      </c>
      <c r="B121" s="1">
        <v>45069</v>
      </c>
      <c r="C121" t="s">
        <v>52</v>
      </c>
      <c r="D121" t="s">
        <v>53</v>
      </c>
      <c r="E121" s="3">
        <v>877</v>
      </c>
      <c r="F121" s="3">
        <v>1</v>
      </c>
      <c r="G121" s="3">
        <v>877</v>
      </c>
      <c r="H121" s="3">
        <v>27</v>
      </c>
      <c r="I121" t="s">
        <v>18</v>
      </c>
      <c r="J121" t="s">
        <v>58</v>
      </c>
      <c r="K121" t="s">
        <v>45</v>
      </c>
      <c r="L121" t="s">
        <v>47</v>
      </c>
      <c r="M121" s="2">
        <v>0.15</v>
      </c>
      <c r="N121" t="s">
        <v>29</v>
      </c>
      <c r="O121" t="str">
        <f t="shared" si="3"/>
        <v>May</v>
      </c>
      <c r="P121" t="str">
        <f t="shared" si="2"/>
        <v>Young Adult</v>
      </c>
    </row>
    <row r="122" spans="1:16" x14ac:dyDescent="0.25">
      <c r="A122">
        <v>1121</v>
      </c>
      <c r="B122" s="1">
        <v>45124</v>
      </c>
      <c r="C122" t="s">
        <v>16</v>
      </c>
      <c r="D122" t="s">
        <v>71</v>
      </c>
      <c r="E122" s="3">
        <v>195</v>
      </c>
      <c r="F122" s="3">
        <v>3</v>
      </c>
      <c r="G122" s="3">
        <v>585</v>
      </c>
      <c r="H122" s="3">
        <v>30</v>
      </c>
      <c r="I122" t="s">
        <v>32</v>
      </c>
      <c r="J122" t="s">
        <v>41</v>
      </c>
      <c r="K122" t="s">
        <v>42</v>
      </c>
      <c r="L122" t="s">
        <v>21</v>
      </c>
      <c r="M122" s="2">
        <v>0.1</v>
      </c>
      <c r="N122" t="s">
        <v>29</v>
      </c>
      <c r="O122" t="str">
        <f t="shared" si="3"/>
        <v>July</v>
      </c>
      <c r="P122" t="str">
        <f t="shared" si="2"/>
        <v>Adult</v>
      </c>
    </row>
    <row r="123" spans="1:16" x14ac:dyDescent="0.25">
      <c r="A123">
        <v>1122</v>
      </c>
      <c r="B123" s="1">
        <v>45013</v>
      </c>
      <c r="C123" t="s">
        <v>35</v>
      </c>
      <c r="D123" t="s">
        <v>36</v>
      </c>
      <c r="E123" s="3">
        <v>219</v>
      </c>
      <c r="F123" s="3">
        <v>1</v>
      </c>
      <c r="G123" s="3">
        <v>219</v>
      </c>
      <c r="H123" s="3">
        <v>41</v>
      </c>
      <c r="I123" t="s">
        <v>18</v>
      </c>
      <c r="J123" t="s">
        <v>60</v>
      </c>
      <c r="K123" t="s">
        <v>27</v>
      </c>
      <c r="L123" t="s">
        <v>28</v>
      </c>
      <c r="M123" s="2">
        <v>0.15</v>
      </c>
      <c r="N123" t="s">
        <v>22</v>
      </c>
      <c r="O123" t="str">
        <f t="shared" si="3"/>
        <v>March</v>
      </c>
      <c r="P123" t="str">
        <f t="shared" si="2"/>
        <v>Adult</v>
      </c>
    </row>
    <row r="124" spans="1:16" x14ac:dyDescent="0.25">
      <c r="A124">
        <v>1123</v>
      </c>
      <c r="B124" s="1">
        <v>45207</v>
      </c>
      <c r="C124" t="s">
        <v>52</v>
      </c>
      <c r="D124" t="s">
        <v>82</v>
      </c>
      <c r="E124" s="3">
        <v>995</v>
      </c>
      <c r="F124" s="3">
        <v>3</v>
      </c>
      <c r="G124" s="3">
        <v>2985</v>
      </c>
      <c r="H124" s="3">
        <v>52</v>
      </c>
      <c r="I124" t="s">
        <v>32</v>
      </c>
      <c r="J124" t="s">
        <v>51</v>
      </c>
      <c r="K124" t="s">
        <v>27</v>
      </c>
      <c r="L124" t="s">
        <v>47</v>
      </c>
      <c r="M124" s="2">
        <v>0.1</v>
      </c>
      <c r="N124" t="s">
        <v>29</v>
      </c>
      <c r="O124" t="str">
        <f t="shared" si="3"/>
        <v>October</v>
      </c>
      <c r="P124" t="str">
        <f t="shared" si="2"/>
        <v>Middle-Aged</v>
      </c>
    </row>
    <row r="125" spans="1:16" x14ac:dyDescent="0.25">
      <c r="A125">
        <v>1124</v>
      </c>
      <c r="B125" s="1">
        <v>45325</v>
      </c>
      <c r="C125" t="s">
        <v>35</v>
      </c>
      <c r="D125" t="s">
        <v>72</v>
      </c>
      <c r="E125" s="3">
        <v>524</v>
      </c>
      <c r="F125" s="3">
        <v>5</v>
      </c>
      <c r="G125" s="3">
        <v>2620</v>
      </c>
      <c r="H125" s="3">
        <v>23</v>
      </c>
      <c r="I125" t="s">
        <v>18</v>
      </c>
      <c r="J125" t="s">
        <v>19</v>
      </c>
      <c r="K125" t="s">
        <v>33</v>
      </c>
      <c r="L125" t="s">
        <v>28</v>
      </c>
      <c r="M125" s="2">
        <v>0.05</v>
      </c>
      <c r="N125" t="s">
        <v>29</v>
      </c>
      <c r="O125" t="str">
        <f t="shared" si="3"/>
        <v>February</v>
      </c>
      <c r="P125" t="str">
        <f t="shared" si="2"/>
        <v>Young Adult</v>
      </c>
    </row>
    <row r="126" spans="1:16" x14ac:dyDescent="0.25">
      <c r="A126">
        <v>1125</v>
      </c>
      <c r="B126" s="1">
        <v>45001</v>
      </c>
      <c r="C126" t="s">
        <v>16</v>
      </c>
      <c r="D126" t="s">
        <v>71</v>
      </c>
      <c r="E126" s="3">
        <v>954</v>
      </c>
      <c r="F126" s="3">
        <v>5</v>
      </c>
      <c r="G126" s="3">
        <v>4770</v>
      </c>
      <c r="H126" s="3">
        <v>30</v>
      </c>
      <c r="I126" t="s">
        <v>32</v>
      </c>
      <c r="J126" t="s">
        <v>51</v>
      </c>
      <c r="K126" t="s">
        <v>20</v>
      </c>
      <c r="L126" t="s">
        <v>21</v>
      </c>
      <c r="M126" s="2">
        <v>0.3</v>
      </c>
      <c r="N126" t="s">
        <v>29</v>
      </c>
      <c r="O126" t="str">
        <f t="shared" si="3"/>
        <v>March</v>
      </c>
      <c r="P126" t="str">
        <f t="shared" si="2"/>
        <v>Adult</v>
      </c>
    </row>
    <row r="127" spans="1:16" x14ac:dyDescent="0.25">
      <c r="A127">
        <v>1126</v>
      </c>
      <c r="B127" s="1">
        <v>45253</v>
      </c>
      <c r="C127" t="s">
        <v>30</v>
      </c>
      <c r="D127" t="s">
        <v>79</v>
      </c>
      <c r="E127" s="3">
        <v>757</v>
      </c>
      <c r="F127" s="3">
        <v>2</v>
      </c>
      <c r="G127" s="3">
        <v>1514</v>
      </c>
      <c r="H127" s="3">
        <v>53</v>
      </c>
      <c r="I127" t="s">
        <v>18</v>
      </c>
      <c r="J127" t="s">
        <v>58</v>
      </c>
      <c r="K127" t="s">
        <v>20</v>
      </c>
      <c r="L127" t="s">
        <v>34</v>
      </c>
      <c r="M127" s="2">
        <v>0.3</v>
      </c>
      <c r="N127" t="s">
        <v>29</v>
      </c>
      <c r="O127" t="str">
        <f t="shared" si="3"/>
        <v>November</v>
      </c>
      <c r="P127" t="str">
        <f t="shared" si="2"/>
        <v>Middle-Aged</v>
      </c>
    </row>
    <row r="128" spans="1:16" x14ac:dyDescent="0.25">
      <c r="A128">
        <v>1127</v>
      </c>
      <c r="B128" s="1">
        <v>45293</v>
      </c>
      <c r="C128" t="s">
        <v>52</v>
      </c>
      <c r="D128" t="s">
        <v>73</v>
      </c>
      <c r="E128" s="3">
        <v>383</v>
      </c>
      <c r="F128" s="3">
        <v>4</v>
      </c>
      <c r="G128" s="3">
        <v>1532</v>
      </c>
      <c r="H128" s="3">
        <v>23</v>
      </c>
      <c r="I128" t="s">
        <v>32</v>
      </c>
      <c r="J128" t="s">
        <v>63</v>
      </c>
      <c r="K128" t="s">
        <v>33</v>
      </c>
      <c r="L128" t="s">
        <v>28</v>
      </c>
      <c r="M128" s="2">
        <v>0.3</v>
      </c>
      <c r="N128" t="s">
        <v>29</v>
      </c>
      <c r="O128" t="str">
        <f t="shared" si="3"/>
        <v>January</v>
      </c>
      <c r="P128" t="str">
        <f t="shared" si="2"/>
        <v>Young Adult</v>
      </c>
    </row>
    <row r="129" spans="1:16" x14ac:dyDescent="0.25">
      <c r="A129">
        <v>1128</v>
      </c>
      <c r="B129" s="1">
        <v>45204</v>
      </c>
      <c r="C129" t="s">
        <v>35</v>
      </c>
      <c r="D129" t="s">
        <v>72</v>
      </c>
      <c r="E129" s="3">
        <v>294</v>
      </c>
      <c r="F129" s="3">
        <v>1</v>
      </c>
      <c r="G129" s="3">
        <v>294</v>
      </c>
      <c r="H129" s="3">
        <v>52</v>
      </c>
      <c r="I129" t="s">
        <v>32</v>
      </c>
      <c r="J129" t="s">
        <v>48</v>
      </c>
      <c r="K129" t="s">
        <v>45</v>
      </c>
      <c r="L129" t="s">
        <v>38</v>
      </c>
      <c r="M129" s="2">
        <v>0.1</v>
      </c>
      <c r="N129" t="s">
        <v>22</v>
      </c>
      <c r="O129" t="str">
        <f t="shared" si="3"/>
        <v>October</v>
      </c>
      <c r="P129" t="str">
        <f t="shared" si="2"/>
        <v>Middle-Aged</v>
      </c>
    </row>
    <row r="130" spans="1:16" x14ac:dyDescent="0.25">
      <c r="A130">
        <v>1129</v>
      </c>
      <c r="B130" s="1">
        <v>45275</v>
      </c>
      <c r="C130" t="s">
        <v>49</v>
      </c>
      <c r="D130" t="s">
        <v>57</v>
      </c>
      <c r="E130" s="3">
        <v>924</v>
      </c>
      <c r="F130" s="3">
        <v>1</v>
      </c>
      <c r="G130" s="3">
        <v>924</v>
      </c>
      <c r="H130" s="3">
        <v>25</v>
      </c>
      <c r="I130" t="s">
        <v>18</v>
      </c>
      <c r="J130" t="s">
        <v>51</v>
      </c>
      <c r="K130" t="s">
        <v>20</v>
      </c>
      <c r="L130" t="s">
        <v>47</v>
      </c>
      <c r="M130" s="2">
        <v>0.2</v>
      </c>
      <c r="N130" t="s">
        <v>29</v>
      </c>
      <c r="O130" t="str">
        <f t="shared" si="3"/>
        <v>December</v>
      </c>
      <c r="P130" t="str">
        <f t="shared" ref="P130:P193" si="4">IF(H130&lt;13, "Child", IF(H130&lt;18, "Teen", IF(H130&lt;30, "Young Adult", IF(H130&lt;50, "Adult", IF(H130&lt;65, "Middle-Aged", "Senior")))))</f>
        <v>Young Adult</v>
      </c>
    </row>
    <row r="131" spans="1:16" x14ac:dyDescent="0.25">
      <c r="A131">
        <v>1130</v>
      </c>
      <c r="B131" s="1">
        <v>44960</v>
      </c>
      <c r="C131" t="s">
        <v>24</v>
      </c>
      <c r="D131" t="s">
        <v>76</v>
      </c>
      <c r="E131" s="3">
        <v>888</v>
      </c>
      <c r="F131" s="3">
        <v>2</v>
      </c>
      <c r="G131" s="3">
        <v>1776</v>
      </c>
      <c r="H131" s="3">
        <v>53</v>
      </c>
      <c r="I131" t="s">
        <v>32</v>
      </c>
      <c r="J131" t="s">
        <v>63</v>
      </c>
      <c r="K131" t="s">
        <v>20</v>
      </c>
      <c r="L131" t="s">
        <v>47</v>
      </c>
      <c r="M131" s="2">
        <v>0.15</v>
      </c>
      <c r="N131" t="s">
        <v>22</v>
      </c>
      <c r="O131" t="str">
        <f t="shared" ref="O131:O194" si="5">TEXT(B131, "MMMM")</f>
        <v>February</v>
      </c>
      <c r="P131" t="str">
        <f t="shared" si="4"/>
        <v>Middle-Aged</v>
      </c>
    </row>
    <row r="132" spans="1:16" x14ac:dyDescent="0.25">
      <c r="A132">
        <v>1131</v>
      </c>
      <c r="B132" s="1">
        <v>45134</v>
      </c>
      <c r="C132" t="s">
        <v>52</v>
      </c>
      <c r="D132" t="s">
        <v>67</v>
      </c>
      <c r="E132" s="3">
        <v>1101</v>
      </c>
      <c r="F132" s="3">
        <v>1</v>
      </c>
      <c r="G132" s="3">
        <v>1101</v>
      </c>
      <c r="H132" s="3">
        <v>35</v>
      </c>
      <c r="I132" t="s">
        <v>18</v>
      </c>
      <c r="J132" t="s">
        <v>26</v>
      </c>
      <c r="K132" t="s">
        <v>45</v>
      </c>
      <c r="L132" t="s">
        <v>21</v>
      </c>
      <c r="M132" s="2">
        <v>0.05</v>
      </c>
      <c r="N132" t="s">
        <v>29</v>
      </c>
      <c r="O132" t="str">
        <f t="shared" si="5"/>
        <v>July</v>
      </c>
      <c r="P132" t="str">
        <f t="shared" si="4"/>
        <v>Adult</v>
      </c>
    </row>
    <row r="133" spans="1:16" x14ac:dyDescent="0.25">
      <c r="A133">
        <v>1132</v>
      </c>
      <c r="B133" s="1">
        <v>45204</v>
      </c>
      <c r="C133" t="s">
        <v>24</v>
      </c>
      <c r="D133" t="s">
        <v>54</v>
      </c>
      <c r="E133" s="3">
        <v>1170</v>
      </c>
      <c r="F133" s="3">
        <v>1</v>
      </c>
      <c r="G133" s="3">
        <v>1170</v>
      </c>
      <c r="H133" s="3">
        <v>38</v>
      </c>
      <c r="I133" t="s">
        <v>18</v>
      </c>
      <c r="J133" t="s">
        <v>26</v>
      </c>
      <c r="K133" t="s">
        <v>33</v>
      </c>
      <c r="L133" t="s">
        <v>28</v>
      </c>
      <c r="M133" s="2">
        <v>0.05</v>
      </c>
      <c r="N133" t="s">
        <v>22</v>
      </c>
      <c r="O133" t="str">
        <f t="shared" si="5"/>
        <v>October</v>
      </c>
      <c r="P133" t="str">
        <f t="shared" si="4"/>
        <v>Adult</v>
      </c>
    </row>
    <row r="134" spans="1:16" x14ac:dyDescent="0.25">
      <c r="A134">
        <v>1133</v>
      </c>
      <c r="B134" s="1">
        <v>45186</v>
      </c>
      <c r="C134" t="s">
        <v>30</v>
      </c>
      <c r="D134" t="s">
        <v>77</v>
      </c>
      <c r="E134" s="3">
        <v>370</v>
      </c>
      <c r="F134" s="3">
        <v>2</v>
      </c>
      <c r="G134" s="3">
        <v>740</v>
      </c>
      <c r="H134" s="3">
        <v>59</v>
      </c>
      <c r="I134" t="s">
        <v>18</v>
      </c>
      <c r="J134" t="s">
        <v>58</v>
      </c>
      <c r="K134" t="s">
        <v>45</v>
      </c>
      <c r="L134" t="s">
        <v>47</v>
      </c>
      <c r="M134" s="2">
        <v>0.05</v>
      </c>
      <c r="N134" t="s">
        <v>22</v>
      </c>
      <c r="O134" t="str">
        <f t="shared" si="5"/>
        <v>September</v>
      </c>
      <c r="P134" t="str">
        <f t="shared" si="4"/>
        <v>Middle-Aged</v>
      </c>
    </row>
    <row r="135" spans="1:16" x14ac:dyDescent="0.25">
      <c r="A135">
        <v>1134</v>
      </c>
      <c r="B135" s="1">
        <v>45186</v>
      </c>
      <c r="C135" t="s">
        <v>16</v>
      </c>
      <c r="D135" t="s">
        <v>62</v>
      </c>
      <c r="E135" s="3">
        <v>218</v>
      </c>
      <c r="F135" s="3">
        <v>2</v>
      </c>
      <c r="G135" s="3">
        <v>436</v>
      </c>
      <c r="H135" s="3">
        <v>47</v>
      </c>
      <c r="I135" t="s">
        <v>32</v>
      </c>
      <c r="J135" t="s">
        <v>55</v>
      </c>
      <c r="K135" t="s">
        <v>20</v>
      </c>
      <c r="L135" t="s">
        <v>21</v>
      </c>
      <c r="M135" s="2">
        <v>0.15</v>
      </c>
      <c r="N135" t="s">
        <v>22</v>
      </c>
      <c r="O135" t="str">
        <f t="shared" si="5"/>
        <v>September</v>
      </c>
      <c r="P135" t="str">
        <f t="shared" si="4"/>
        <v>Adult</v>
      </c>
    </row>
    <row r="136" spans="1:16" x14ac:dyDescent="0.25">
      <c r="A136">
        <v>1135</v>
      </c>
      <c r="B136" s="1">
        <v>44939</v>
      </c>
      <c r="C136" t="s">
        <v>30</v>
      </c>
      <c r="D136" t="s">
        <v>44</v>
      </c>
      <c r="E136" s="3">
        <v>433</v>
      </c>
      <c r="F136" s="3">
        <v>2</v>
      </c>
      <c r="G136" s="3">
        <v>866</v>
      </c>
      <c r="H136" s="3">
        <v>30</v>
      </c>
      <c r="I136" t="s">
        <v>32</v>
      </c>
      <c r="J136" t="s">
        <v>58</v>
      </c>
      <c r="K136" t="s">
        <v>33</v>
      </c>
      <c r="L136" t="s">
        <v>38</v>
      </c>
      <c r="M136" s="2">
        <v>0.25</v>
      </c>
      <c r="N136" t="s">
        <v>22</v>
      </c>
      <c r="O136" t="str">
        <f t="shared" si="5"/>
        <v>January</v>
      </c>
      <c r="P136" t="str">
        <f t="shared" si="4"/>
        <v>Adult</v>
      </c>
    </row>
    <row r="137" spans="1:16" x14ac:dyDescent="0.25">
      <c r="A137">
        <v>1136</v>
      </c>
      <c r="B137" s="1">
        <v>45159</v>
      </c>
      <c r="C137" t="s">
        <v>52</v>
      </c>
      <c r="D137" t="s">
        <v>82</v>
      </c>
      <c r="E137" s="3">
        <v>627</v>
      </c>
      <c r="F137" s="3">
        <v>3</v>
      </c>
      <c r="G137" s="3">
        <v>1881</v>
      </c>
      <c r="H137" s="3">
        <v>33</v>
      </c>
      <c r="I137" t="s">
        <v>18</v>
      </c>
      <c r="J137" t="s">
        <v>26</v>
      </c>
      <c r="K137" t="s">
        <v>27</v>
      </c>
      <c r="L137" t="s">
        <v>34</v>
      </c>
      <c r="M137" s="2">
        <v>0.3</v>
      </c>
      <c r="N137" t="s">
        <v>22</v>
      </c>
      <c r="O137" t="str">
        <f t="shared" si="5"/>
        <v>August</v>
      </c>
      <c r="P137" t="str">
        <f t="shared" si="4"/>
        <v>Adult</v>
      </c>
    </row>
    <row r="138" spans="1:16" x14ac:dyDescent="0.25">
      <c r="A138">
        <v>1137</v>
      </c>
      <c r="B138" s="1">
        <v>45090</v>
      </c>
      <c r="C138" t="s">
        <v>16</v>
      </c>
      <c r="D138" t="s">
        <v>62</v>
      </c>
      <c r="E138" s="3">
        <v>1289</v>
      </c>
      <c r="F138" s="3">
        <v>3</v>
      </c>
      <c r="G138" s="3">
        <v>3867</v>
      </c>
      <c r="H138" s="3">
        <v>42</v>
      </c>
      <c r="I138" t="s">
        <v>32</v>
      </c>
      <c r="J138" t="s">
        <v>60</v>
      </c>
      <c r="K138" t="s">
        <v>42</v>
      </c>
      <c r="L138" t="s">
        <v>21</v>
      </c>
      <c r="M138" s="2">
        <v>0.2</v>
      </c>
      <c r="N138" t="s">
        <v>29</v>
      </c>
      <c r="O138" t="str">
        <f t="shared" si="5"/>
        <v>June</v>
      </c>
      <c r="P138" t="str">
        <f t="shared" si="4"/>
        <v>Adult</v>
      </c>
    </row>
    <row r="139" spans="1:16" x14ac:dyDescent="0.25">
      <c r="A139">
        <v>1138</v>
      </c>
      <c r="B139" s="1">
        <v>45310</v>
      </c>
      <c r="C139" t="s">
        <v>30</v>
      </c>
      <c r="D139" t="s">
        <v>44</v>
      </c>
      <c r="E139" s="3">
        <v>713</v>
      </c>
      <c r="F139" s="3">
        <v>3</v>
      </c>
      <c r="G139" s="3">
        <v>2139</v>
      </c>
      <c r="H139" s="3">
        <v>33</v>
      </c>
      <c r="I139" t="s">
        <v>18</v>
      </c>
      <c r="J139" t="s">
        <v>51</v>
      </c>
      <c r="K139" t="s">
        <v>45</v>
      </c>
      <c r="L139" t="s">
        <v>21</v>
      </c>
      <c r="M139" s="2">
        <v>0.3</v>
      </c>
      <c r="N139" t="s">
        <v>22</v>
      </c>
      <c r="O139" t="str">
        <f t="shared" si="5"/>
        <v>January</v>
      </c>
      <c r="P139" t="str">
        <f t="shared" si="4"/>
        <v>Adult</v>
      </c>
    </row>
    <row r="140" spans="1:16" x14ac:dyDescent="0.25">
      <c r="A140">
        <v>1139</v>
      </c>
      <c r="B140" s="1">
        <v>44970</v>
      </c>
      <c r="C140" t="s">
        <v>24</v>
      </c>
      <c r="D140" t="s">
        <v>25</v>
      </c>
      <c r="E140" s="3">
        <v>240</v>
      </c>
      <c r="F140" s="3">
        <v>4</v>
      </c>
      <c r="G140" s="3">
        <v>960</v>
      </c>
      <c r="H140" s="3">
        <v>39</v>
      </c>
      <c r="I140" t="s">
        <v>32</v>
      </c>
      <c r="J140" t="s">
        <v>26</v>
      </c>
      <c r="K140" t="s">
        <v>20</v>
      </c>
      <c r="L140" t="s">
        <v>34</v>
      </c>
      <c r="M140" s="2">
        <v>0.15</v>
      </c>
      <c r="N140" t="s">
        <v>29</v>
      </c>
      <c r="O140" t="str">
        <f t="shared" si="5"/>
        <v>February</v>
      </c>
      <c r="P140" t="str">
        <f t="shared" si="4"/>
        <v>Adult</v>
      </c>
    </row>
    <row r="141" spans="1:16" x14ac:dyDescent="0.25">
      <c r="A141">
        <v>1140</v>
      </c>
      <c r="B141" s="1">
        <v>45192</v>
      </c>
      <c r="C141" t="s">
        <v>39</v>
      </c>
      <c r="D141" t="s">
        <v>78</v>
      </c>
      <c r="E141" s="3">
        <v>417</v>
      </c>
      <c r="F141" s="3">
        <v>5</v>
      </c>
      <c r="G141" s="3">
        <v>2085</v>
      </c>
      <c r="H141" s="3">
        <v>31</v>
      </c>
      <c r="I141" t="s">
        <v>18</v>
      </c>
      <c r="J141" t="s">
        <v>41</v>
      </c>
      <c r="K141" t="s">
        <v>45</v>
      </c>
      <c r="L141" t="s">
        <v>21</v>
      </c>
      <c r="M141" s="2">
        <v>0.1</v>
      </c>
      <c r="N141" t="s">
        <v>29</v>
      </c>
      <c r="O141" t="str">
        <f t="shared" si="5"/>
        <v>September</v>
      </c>
      <c r="P141" t="str">
        <f t="shared" si="4"/>
        <v>Adult</v>
      </c>
    </row>
    <row r="142" spans="1:16" x14ac:dyDescent="0.25">
      <c r="A142">
        <v>1141</v>
      </c>
      <c r="B142" s="1">
        <v>45283</v>
      </c>
      <c r="C142" t="s">
        <v>35</v>
      </c>
      <c r="D142" t="s">
        <v>74</v>
      </c>
      <c r="E142" s="3">
        <v>1416</v>
      </c>
      <c r="F142" s="3">
        <v>1</v>
      </c>
      <c r="G142" s="3">
        <v>1416</v>
      </c>
      <c r="H142" s="3">
        <v>45</v>
      </c>
      <c r="I142" t="s">
        <v>18</v>
      </c>
      <c r="J142" t="s">
        <v>43</v>
      </c>
      <c r="K142" t="s">
        <v>37</v>
      </c>
      <c r="L142" t="s">
        <v>21</v>
      </c>
      <c r="M142" s="2">
        <v>0.2</v>
      </c>
      <c r="N142" t="s">
        <v>29</v>
      </c>
      <c r="O142" t="str">
        <f t="shared" si="5"/>
        <v>December</v>
      </c>
      <c r="P142" t="str">
        <f t="shared" si="4"/>
        <v>Adult</v>
      </c>
    </row>
    <row r="143" spans="1:16" x14ac:dyDescent="0.25">
      <c r="A143">
        <v>1142</v>
      </c>
      <c r="B143" s="1">
        <v>45044</v>
      </c>
      <c r="C143" t="s">
        <v>39</v>
      </c>
      <c r="D143" t="s">
        <v>78</v>
      </c>
      <c r="E143" s="3">
        <v>1467</v>
      </c>
      <c r="F143" s="3">
        <v>1</v>
      </c>
      <c r="G143" s="3">
        <v>1467</v>
      </c>
      <c r="H143" s="3">
        <v>51</v>
      </c>
      <c r="I143" t="s">
        <v>18</v>
      </c>
      <c r="J143" t="s">
        <v>55</v>
      </c>
      <c r="K143" t="s">
        <v>42</v>
      </c>
      <c r="L143" t="s">
        <v>47</v>
      </c>
      <c r="M143" s="2">
        <v>0.1</v>
      </c>
      <c r="N143" t="s">
        <v>29</v>
      </c>
      <c r="O143" t="str">
        <f t="shared" si="5"/>
        <v>April</v>
      </c>
      <c r="P143" t="str">
        <f t="shared" si="4"/>
        <v>Middle-Aged</v>
      </c>
    </row>
    <row r="144" spans="1:16" x14ac:dyDescent="0.25">
      <c r="A144">
        <v>1143</v>
      </c>
      <c r="B144" s="1">
        <v>45130</v>
      </c>
      <c r="C144" t="s">
        <v>24</v>
      </c>
      <c r="D144" t="s">
        <v>84</v>
      </c>
      <c r="E144" s="3">
        <v>778</v>
      </c>
      <c r="F144" s="3">
        <v>3</v>
      </c>
      <c r="G144" s="3">
        <v>2334</v>
      </c>
      <c r="H144" s="3">
        <v>49</v>
      </c>
      <c r="I144" t="s">
        <v>32</v>
      </c>
      <c r="J144" t="s">
        <v>41</v>
      </c>
      <c r="K144" t="s">
        <v>37</v>
      </c>
      <c r="L144" t="s">
        <v>28</v>
      </c>
      <c r="M144" s="2">
        <v>0.25</v>
      </c>
      <c r="N144" t="s">
        <v>22</v>
      </c>
      <c r="O144" t="str">
        <f t="shared" si="5"/>
        <v>July</v>
      </c>
      <c r="P144" t="str">
        <f t="shared" si="4"/>
        <v>Adult</v>
      </c>
    </row>
    <row r="145" spans="1:16" x14ac:dyDescent="0.25">
      <c r="A145">
        <v>1144</v>
      </c>
      <c r="B145" s="1">
        <v>45277</v>
      </c>
      <c r="C145" t="s">
        <v>30</v>
      </c>
      <c r="D145" t="s">
        <v>31</v>
      </c>
      <c r="E145" s="3">
        <v>1401</v>
      </c>
      <c r="F145" s="3">
        <v>5</v>
      </c>
      <c r="G145" s="3">
        <v>7005</v>
      </c>
      <c r="H145" s="3">
        <v>40</v>
      </c>
      <c r="I145" t="s">
        <v>18</v>
      </c>
      <c r="J145" t="s">
        <v>63</v>
      </c>
      <c r="K145" t="s">
        <v>20</v>
      </c>
      <c r="L145" t="s">
        <v>34</v>
      </c>
      <c r="M145" s="2">
        <v>0.3</v>
      </c>
      <c r="N145" t="s">
        <v>29</v>
      </c>
      <c r="O145" t="str">
        <f t="shared" si="5"/>
        <v>December</v>
      </c>
      <c r="P145" t="str">
        <f t="shared" si="4"/>
        <v>Adult</v>
      </c>
    </row>
    <row r="146" spans="1:16" x14ac:dyDescent="0.25">
      <c r="A146">
        <v>1145</v>
      </c>
      <c r="B146" s="1">
        <v>44971</v>
      </c>
      <c r="C146" t="s">
        <v>52</v>
      </c>
      <c r="D146" t="s">
        <v>82</v>
      </c>
      <c r="E146" s="3">
        <v>1163</v>
      </c>
      <c r="F146" s="3">
        <v>1</v>
      </c>
      <c r="G146" s="3">
        <v>1163</v>
      </c>
      <c r="H146" s="3">
        <v>37</v>
      </c>
      <c r="I146" t="s">
        <v>32</v>
      </c>
      <c r="J146" t="s">
        <v>51</v>
      </c>
      <c r="K146" t="s">
        <v>27</v>
      </c>
      <c r="L146" t="s">
        <v>47</v>
      </c>
      <c r="M146" s="2">
        <v>0.3</v>
      </c>
      <c r="N146" t="s">
        <v>29</v>
      </c>
      <c r="O146" t="str">
        <f t="shared" si="5"/>
        <v>February</v>
      </c>
      <c r="P146" t="str">
        <f t="shared" si="4"/>
        <v>Adult</v>
      </c>
    </row>
    <row r="147" spans="1:16" x14ac:dyDescent="0.25">
      <c r="A147">
        <v>1146</v>
      </c>
      <c r="B147" s="1">
        <v>45097</v>
      </c>
      <c r="C147" t="s">
        <v>24</v>
      </c>
      <c r="D147" t="s">
        <v>84</v>
      </c>
      <c r="E147" s="3">
        <v>643</v>
      </c>
      <c r="F147" s="3">
        <v>5</v>
      </c>
      <c r="G147" s="3">
        <v>3215</v>
      </c>
      <c r="H147" s="3">
        <v>42</v>
      </c>
      <c r="I147" t="s">
        <v>18</v>
      </c>
      <c r="J147" t="s">
        <v>55</v>
      </c>
      <c r="K147" t="s">
        <v>37</v>
      </c>
      <c r="L147" t="s">
        <v>21</v>
      </c>
      <c r="M147" s="2">
        <v>0.3</v>
      </c>
      <c r="N147" t="s">
        <v>22</v>
      </c>
      <c r="O147" t="str">
        <f t="shared" si="5"/>
        <v>June</v>
      </c>
      <c r="P147" t="str">
        <f t="shared" si="4"/>
        <v>Adult</v>
      </c>
    </row>
    <row r="148" spans="1:16" x14ac:dyDescent="0.25">
      <c r="A148">
        <v>1147</v>
      </c>
      <c r="B148" s="1">
        <v>45186</v>
      </c>
      <c r="C148" t="s">
        <v>24</v>
      </c>
      <c r="D148" t="s">
        <v>76</v>
      </c>
      <c r="E148" s="3">
        <v>911</v>
      </c>
      <c r="F148" s="3">
        <v>1</v>
      </c>
      <c r="G148" s="3">
        <v>911</v>
      </c>
      <c r="H148" s="3">
        <v>34</v>
      </c>
      <c r="I148" t="s">
        <v>18</v>
      </c>
      <c r="J148" t="s">
        <v>51</v>
      </c>
      <c r="K148" t="s">
        <v>20</v>
      </c>
      <c r="L148" t="s">
        <v>21</v>
      </c>
      <c r="M148" s="2">
        <v>0.3</v>
      </c>
      <c r="N148" t="s">
        <v>29</v>
      </c>
      <c r="O148" t="str">
        <f t="shared" si="5"/>
        <v>September</v>
      </c>
      <c r="P148" t="str">
        <f t="shared" si="4"/>
        <v>Adult</v>
      </c>
    </row>
    <row r="149" spans="1:16" x14ac:dyDescent="0.25">
      <c r="A149">
        <v>1148</v>
      </c>
      <c r="B149" s="1">
        <v>45240</v>
      </c>
      <c r="C149" t="s">
        <v>24</v>
      </c>
      <c r="D149" t="s">
        <v>84</v>
      </c>
      <c r="E149" s="3">
        <v>1026</v>
      </c>
      <c r="F149" s="3">
        <v>3</v>
      </c>
      <c r="G149" s="3">
        <v>3078</v>
      </c>
      <c r="H149" s="3">
        <v>28</v>
      </c>
      <c r="I149" t="s">
        <v>18</v>
      </c>
      <c r="J149" t="s">
        <v>26</v>
      </c>
      <c r="K149" t="s">
        <v>27</v>
      </c>
      <c r="L149" t="s">
        <v>21</v>
      </c>
      <c r="M149" s="2">
        <v>0.1</v>
      </c>
      <c r="N149" t="s">
        <v>29</v>
      </c>
      <c r="O149" t="str">
        <f t="shared" si="5"/>
        <v>November</v>
      </c>
      <c r="P149" t="str">
        <f t="shared" si="4"/>
        <v>Young Adult</v>
      </c>
    </row>
    <row r="150" spans="1:16" x14ac:dyDescent="0.25">
      <c r="A150">
        <v>1149</v>
      </c>
      <c r="B150" s="1">
        <v>45165</v>
      </c>
      <c r="C150" t="s">
        <v>52</v>
      </c>
      <c r="D150" t="s">
        <v>53</v>
      </c>
      <c r="E150" s="3">
        <v>1384</v>
      </c>
      <c r="F150" s="3">
        <v>3</v>
      </c>
      <c r="G150" s="3">
        <v>4152</v>
      </c>
      <c r="H150" s="3">
        <v>49</v>
      </c>
      <c r="I150" t="s">
        <v>32</v>
      </c>
      <c r="J150" t="s">
        <v>19</v>
      </c>
      <c r="K150" t="s">
        <v>20</v>
      </c>
      <c r="L150" t="s">
        <v>47</v>
      </c>
      <c r="M150" s="2">
        <v>0.3</v>
      </c>
      <c r="N150" t="s">
        <v>29</v>
      </c>
      <c r="O150" t="str">
        <f t="shared" si="5"/>
        <v>August</v>
      </c>
      <c r="P150" t="str">
        <f t="shared" si="4"/>
        <v>Adult</v>
      </c>
    </row>
    <row r="151" spans="1:16" x14ac:dyDescent="0.25">
      <c r="A151">
        <v>1150</v>
      </c>
      <c r="B151" s="1">
        <v>45047</v>
      </c>
      <c r="C151" t="s">
        <v>49</v>
      </c>
      <c r="D151" t="s">
        <v>66</v>
      </c>
      <c r="E151" s="3">
        <v>492</v>
      </c>
      <c r="F151" s="3">
        <v>4</v>
      </c>
      <c r="G151" s="3">
        <v>1968</v>
      </c>
      <c r="H151" s="3">
        <v>50</v>
      </c>
      <c r="I151" t="s">
        <v>32</v>
      </c>
      <c r="J151" t="s">
        <v>48</v>
      </c>
      <c r="K151" t="s">
        <v>20</v>
      </c>
      <c r="L151" t="s">
        <v>34</v>
      </c>
      <c r="M151" s="2">
        <v>0.3</v>
      </c>
      <c r="N151" t="s">
        <v>29</v>
      </c>
      <c r="O151" t="str">
        <f t="shared" si="5"/>
        <v>May</v>
      </c>
      <c r="P151" t="str">
        <f t="shared" si="4"/>
        <v>Middle-Aged</v>
      </c>
    </row>
    <row r="152" spans="1:16" x14ac:dyDescent="0.25">
      <c r="A152">
        <v>1151</v>
      </c>
      <c r="B152" s="1">
        <v>45251</v>
      </c>
      <c r="C152" t="s">
        <v>35</v>
      </c>
      <c r="D152" t="s">
        <v>36</v>
      </c>
      <c r="E152" s="3">
        <v>185</v>
      </c>
      <c r="F152" s="3">
        <v>3</v>
      </c>
      <c r="G152" s="3">
        <v>555</v>
      </c>
      <c r="H152" s="3">
        <v>53</v>
      </c>
      <c r="I152" t="s">
        <v>18</v>
      </c>
      <c r="J152" t="s">
        <v>26</v>
      </c>
      <c r="K152" t="s">
        <v>42</v>
      </c>
      <c r="L152" t="s">
        <v>34</v>
      </c>
      <c r="M152" s="2">
        <v>0.25</v>
      </c>
      <c r="N152" t="s">
        <v>29</v>
      </c>
      <c r="O152" t="str">
        <f t="shared" si="5"/>
        <v>November</v>
      </c>
      <c r="P152" t="str">
        <f t="shared" si="4"/>
        <v>Middle-Aged</v>
      </c>
    </row>
    <row r="153" spans="1:16" x14ac:dyDescent="0.25">
      <c r="A153">
        <v>1152</v>
      </c>
      <c r="B153" s="1">
        <v>45153</v>
      </c>
      <c r="C153" t="s">
        <v>49</v>
      </c>
      <c r="D153" t="s">
        <v>81</v>
      </c>
      <c r="E153" s="3">
        <v>32</v>
      </c>
      <c r="F153" s="3">
        <v>1</v>
      </c>
      <c r="G153" s="3">
        <v>32</v>
      </c>
      <c r="H153" s="3">
        <v>39</v>
      </c>
      <c r="I153" t="s">
        <v>18</v>
      </c>
      <c r="J153" t="s">
        <v>55</v>
      </c>
      <c r="K153" t="s">
        <v>20</v>
      </c>
      <c r="L153" t="s">
        <v>38</v>
      </c>
      <c r="M153" s="2">
        <v>0.2</v>
      </c>
      <c r="N153" t="s">
        <v>29</v>
      </c>
      <c r="O153" t="str">
        <f t="shared" si="5"/>
        <v>August</v>
      </c>
      <c r="P153" t="str">
        <f t="shared" si="4"/>
        <v>Adult</v>
      </c>
    </row>
    <row r="154" spans="1:16" x14ac:dyDescent="0.25">
      <c r="A154">
        <v>1153</v>
      </c>
      <c r="B154" s="1">
        <v>45207</v>
      </c>
      <c r="C154" t="s">
        <v>30</v>
      </c>
      <c r="D154" t="s">
        <v>77</v>
      </c>
      <c r="E154" s="3">
        <v>1425</v>
      </c>
      <c r="F154" s="3">
        <v>1</v>
      </c>
      <c r="G154" s="3">
        <v>1425</v>
      </c>
      <c r="H154" s="3">
        <v>46</v>
      </c>
      <c r="I154" t="s">
        <v>18</v>
      </c>
      <c r="J154" t="s">
        <v>48</v>
      </c>
      <c r="K154" t="s">
        <v>45</v>
      </c>
      <c r="L154" t="s">
        <v>34</v>
      </c>
      <c r="M154" s="2">
        <v>0.05</v>
      </c>
      <c r="N154" t="s">
        <v>22</v>
      </c>
      <c r="O154" t="str">
        <f t="shared" si="5"/>
        <v>October</v>
      </c>
      <c r="P154" t="str">
        <f t="shared" si="4"/>
        <v>Adult</v>
      </c>
    </row>
    <row r="155" spans="1:16" x14ac:dyDescent="0.25">
      <c r="A155">
        <v>1154</v>
      </c>
      <c r="B155" s="1">
        <v>45181</v>
      </c>
      <c r="C155" t="s">
        <v>52</v>
      </c>
      <c r="D155" t="s">
        <v>67</v>
      </c>
      <c r="E155" s="3">
        <v>1096</v>
      </c>
      <c r="F155" s="3">
        <v>2</v>
      </c>
      <c r="G155" s="3">
        <v>2192</v>
      </c>
      <c r="H155" s="3">
        <v>29</v>
      </c>
      <c r="I155" t="s">
        <v>18</v>
      </c>
      <c r="J155" t="s">
        <v>48</v>
      </c>
      <c r="K155" t="s">
        <v>20</v>
      </c>
      <c r="L155" t="s">
        <v>38</v>
      </c>
      <c r="M155" s="2">
        <v>0.05</v>
      </c>
      <c r="N155" t="s">
        <v>29</v>
      </c>
      <c r="O155" t="str">
        <f t="shared" si="5"/>
        <v>September</v>
      </c>
      <c r="P155" t="str">
        <f t="shared" si="4"/>
        <v>Young Adult</v>
      </c>
    </row>
    <row r="156" spans="1:16" x14ac:dyDescent="0.25">
      <c r="A156">
        <v>1155</v>
      </c>
      <c r="B156" s="1">
        <v>45112</v>
      </c>
      <c r="C156" t="s">
        <v>16</v>
      </c>
      <c r="D156" t="s">
        <v>83</v>
      </c>
      <c r="E156" s="3">
        <v>763</v>
      </c>
      <c r="F156" s="3">
        <v>1</v>
      </c>
      <c r="G156" s="3">
        <v>763</v>
      </c>
      <c r="H156" s="3">
        <v>50</v>
      </c>
      <c r="I156" t="s">
        <v>32</v>
      </c>
      <c r="J156" t="s">
        <v>60</v>
      </c>
      <c r="K156" t="s">
        <v>45</v>
      </c>
      <c r="L156" t="s">
        <v>34</v>
      </c>
      <c r="M156" s="2">
        <v>0.05</v>
      </c>
      <c r="N156" t="s">
        <v>22</v>
      </c>
      <c r="O156" t="str">
        <f t="shared" si="5"/>
        <v>July</v>
      </c>
      <c r="P156" t="str">
        <f t="shared" si="4"/>
        <v>Middle-Aged</v>
      </c>
    </row>
    <row r="157" spans="1:16" x14ac:dyDescent="0.25">
      <c r="A157">
        <v>1156</v>
      </c>
      <c r="B157" s="1">
        <v>45327</v>
      </c>
      <c r="C157" t="s">
        <v>16</v>
      </c>
      <c r="D157" t="s">
        <v>62</v>
      </c>
      <c r="E157" s="3">
        <v>903</v>
      </c>
      <c r="F157" s="3">
        <v>2</v>
      </c>
      <c r="G157" s="3">
        <v>1806</v>
      </c>
      <c r="H157" s="3">
        <v>21</v>
      </c>
      <c r="I157" t="s">
        <v>32</v>
      </c>
      <c r="J157" t="s">
        <v>55</v>
      </c>
      <c r="K157" t="s">
        <v>27</v>
      </c>
      <c r="L157" t="s">
        <v>34</v>
      </c>
      <c r="M157" s="2">
        <v>0.3</v>
      </c>
      <c r="N157" t="s">
        <v>22</v>
      </c>
      <c r="O157" t="str">
        <f t="shared" si="5"/>
        <v>February</v>
      </c>
      <c r="P157" t="str">
        <f t="shared" si="4"/>
        <v>Young Adult</v>
      </c>
    </row>
    <row r="158" spans="1:16" x14ac:dyDescent="0.25">
      <c r="A158">
        <v>1157</v>
      </c>
      <c r="B158" s="1">
        <v>44967</v>
      </c>
      <c r="C158" t="s">
        <v>35</v>
      </c>
      <c r="D158" t="s">
        <v>75</v>
      </c>
      <c r="E158" s="3">
        <v>703</v>
      </c>
      <c r="F158" s="3">
        <v>2</v>
      </c>
      <c r="G158" s="3">
        <v>1406</v>
      </c>
      <c r="H158" s="3">
        <v>24</v>
      </c>
      <c r="I158" t="s">
        <v>18</v>
      </c>
      <c r="J158" t="s">
        <v>48</v>
      </c>
      <c r="K158" t="s">
        <v>33</v>
      </c>
      <c r="L158" t="s">
        <v>38</v>
      </c>
      <c r="M158" s="2">
        <v>0.1</v>
      </c>
      <c r="N158" t="s">
        <v>29</v>
      </c>
      <c r="O158" t="str">
        <f t="shared" si="5"/>
        <v>February</v>
      </c>
      <c r="P158" t="str">
        <f t="shared" si="4"/>
        <v>Young Adult</v>
      </c>
    </row>
    <row r="159" spans="1:16" x14ac:dyDescent="0.25">
      <c r="A159">
        <v>1158</v>
      </c>
      <c r="B159" s="1">
        <v>45266</v>
      </c>
      <c r="C159" t="s">
        <v>16</v>
      </c>
      <c r="D159" t="s">
        <v>71</v>
      </c>
      <c r="E159" s="3">
        <v>947</v>
      </c>
      <c r="F159" s="3">
        <v>3</v>
      </c>
      <c r="G159" s="3">
        <v>2841</v>
      </c>
      <c r="H159" s="3">
        <v>52</v>
      </c>
      <c r="I159" t="s">
        <v>32</v>
      </c>
      <c r="J159" t="s">
        <v>63</v>
      </c>
      <c r="K159" t="s">
        <v>45</v>
      </c>
      <c r="L159" t="s">
        <v>38</v>
      </c>
      <c r="M159" s="2">
        <v>0.15</v>
      </c>
      <c r="N159" t="s">
        <v>29</v>
      </c>
      <c r="O159" t="str">
        <f t="shared" si="5"/>
        <v>December</v>
      </c>
      <c r="P159" t="str">
        <f t="shared" si="4"/>
        <v>Middle-Aged</v>
      </c>
    </row>
    <row r="160" spans="1:16" x14ac:dyDescent="0.25">
      <c r="A160">
        <v>1159</v>
      </c>
      <c r="B160" s="1">
        <v>44932</v>
      </c>
      <c r="C160" t="s">
        <v>24</v>
      </c>
      <c r="D160" t="s">
        <v>54</v>
      </c>
      <c r="E160" s="3">
        <v>1010</v>
      </c>
      <c r="F160" s="3">
        <v>1</v>
      </c>
      <c r="G160" s="3">
        <v>1010</v>
      </c>
      <c r="H160" s="3">
        <v>27</v>
      </c>
      <c r="I160" t="s">
        <v>18</v>
      </c>
      <c r="J160" t="s">
        <v>51</v>
      </c>
      <c r="K160" t="s">
        <v>37</v>
      </c>
      <c r="L160" t="s">
        <v>28</v>
      </c>
      <c r="M160" s="2">
        <v>0.1</v>
      </c>
      <c r="N160" t="s">
        <v>29</v>
      </c>
      <c r="O160" t="str">
        <f t="shared" si="5"/>
        <v>January</v>
      </c>
      <c r="P160" t="str">
        <f t="shared" si="4"/>
        <v>Young Adult</v>
      </c>
    </row>
    <row r="161" spans="1:16" x14ac:dyDescent="0.25">
      <c r="A161">
        <v>1160</v>
      </c>
      <c r="B161" s="1">
        <v>44990</v>
      </c>
      <c r="C161" t="s">
        <v>30</v>
      </c>
      <c r="D161" t="s">
        <v>77</v>
      </c>
      <c r="E161" s="3">
        <v>1228</v>
      </c>
      <c r="F161" s="3">
        <v>3</v>
      </c>
      <c r="G161" s="3">
        <v>3684</v>
      </c>
      <c r="H161" s="3">
        <v>20</v>
      </c>
      <c r="I161" t="s">
        <v>18</v>
      </c>
      <c r="J161" t="s">
        <v>60</v>
      </c>
      <c r="K161" t="s">
        <v>27</v>
      </c>
      <c r="L161" t="s">
        <v>47</v>
      </c>
      <c r="M161" s="2">
        <v>0.05</v>
      </c>
      <c r="N161" t="s">
        <v>29</v>
      </c>
      <c r="O161" t="str">
        <f t="shared" si="5"/>
        <v>March</v>
      </c>
      <c r="P161" t="str">
        <f t="shared" si="4"/>
        <v>Young Adult</v>
      </c>
    </row>
    <row r="162" spans="1:16" x14ac:dyDescent="0.25">
      <c r="A162">
        <v>1161</v>
      </c>
      <c r="B162" s="1">
        <v>44949</v>
      </c>
      <c r="C162" t="s">
        <v>16</v>
      </c>
      <c r="D162" t="s">
        <v>62</v>
      </c>
      <c r="E162" s="3">
        <v>439</v>
      </c>
      <c r="F162" s="3">
        <v>5</v>
      </c>
      <c r="G162" s="3">
        <v>2195</v>
      </c>
      <c r="H162" s="3">
        <v>47</v>
      </c>
      <c r="I162" t="s">
        <v>32</v>
      </c>
      <c r="J162" t="s">
        <v>43</v>
      </c>
      <c r="K162" t="s">
        <v>27</v>
      </c>
      <c r="L162" t="s">
        <v>21</v>
      </c>
      <c r="M162" s="2">
        <v>0.05</v>
      </c>
      <c r="N162" t="s">
        <v>29</v>
      </c>
      <c r="O162" t="str">
        <f t="shared" si="5"/>
        <v>January</v>
      </c>
      <c r="P162" t="str">
        <f t="shared" si="4"/>
        <v>Adult</v>
      </c>
    </row>
    <row r="163" spans="1:16" x14ac:dyDescent="0.25">
      <c r="A163">
        <v>1162</v>
      </c>
      <c r="B163" s="1">
        <v>45122</v>
      </c>
      <c r="C163" t="s">
        <v>49</v>
      </c>
      <c r="D163" t="s">
        <v>64</v>
      </c>
      <c r="E163" s="3">
        <v>1302</v>
      </c>
      <c r="F163" s="3">
        <v>3</v>
      </c>
      <c r="G163" s="3">
        <v>3906</v>
      </c>
      <c r="H163" s="3">
        <v>49</v>
      </c>
      <c r="I163" t="s">
        <v>18</v>
      </c>
      <c r="J163" t="s">
        <v>60</v>
      </c>
      <c r="K163" t="s">
        <v>45</v>
      </c>
      <c r="L163" t="s">
        <v>34</v>
      </c>
      <c r="M163" s="2">
        <v>0.25</v>
      </c>
      <c r="N163" t="s">
        <v>29</v>
      </c>
      <c r="O163" t="str">
        <f t="shared" si="5"/>
        <v>July</v>
      </c>
      <c r="P163" t="str">
        <f t="shared" si="4"/>
        <v>Adult</v>
      </c>
    </row>
    <row r="164" spans="1:16" x14ac:dyDescent="0.25">
      <c r="A164">
        <v>1163</v>
      </c>
      <c r="B164" s="1">
        <v>45158</v>
      </c>
      <c r="C164" t="s">
        <v>39</v>
      </c>
      <c r="D164" t="s">
        <v>46</v>
      </c>
      <c r="E164" s="3">
        <v>1194</v>
      </c>
      <c r="F164" s="3">
        <v>2</v>
      </c>
      <c r="G164" s="3">
        <v>2388</v>
      </c>
      <c r="H164" s="3">
        <v>33</v>
      </c>
      <c r="I164" t="s">
        <v>18</v>
      </c>
      <c r="J164" t="s">
        <v>60</v>
      </c>
      <c r="K164" t="s">
        <v>42</v>
      </c>
      <c r="L164" t="s">
        <v>21</v>
      </c>
      <c r="M164" s="2">
        <v>0.2</v>
      </c>
      <c r="N164" t="s">
        <v>29</v>
      </c>
      <c r="O164" t="str">
        <f t="shared" si="5"/>
        <v>August</v>
      </c>
      <c r="P164" t="str">
        <f t="shared" si="4"/>
        <v>Adult</v>
      </c>
    </row>
    <row r="165" spans="1:16" x14ac:dyDescent="0.25">
      <c r="A165">
        <v>1164</v>
      </c>
      <c r="B165" s="1">
        <v>45094</v>
      </c>
      <c r="C165" t="s">
        <v>52</v>
      </c>
      <c r="D165" t="s">
        <v>53</v>
      </c>
      <c r="E165" s="3">
        <v>124</v>
      </c>
      <c r="F165" s="3">
        <v>2</v>
      </c>
      <c r="G165" s="3">
        <v>248</v>
      </c>
      <c r="H165" s="3">
        <v>33</v>
      </c>
      <c r="I165" t="s">
        <v>18</v>
      </c>
      <c r="J165" t="s">
        <v>51</v>
      </c>
      <c r="K165" t="s">
        <v>27</v>
      </c>
      <c r="L165" t="s">
        <v>47</v>
      </c>
      <c r="M165" s="2">
        <v>0.25</v>
      </c>
      <c r="N165" t="s">
        <v>22</v>
      </c>
      <c r="O165" t="str">
        <f t="shared" si="5"/>
        <v>June</v>
      </c>
      <c r="P165" t="str">
        <f t="shared" si="4"/>
        <v>Adult</v>
      </c>
    </row>
    <row r="166" spans="1:16" x14ac:dyDescent="0.25">
      <c r="A166">
        <v>1165</v>
      </c>
      <c r="B166" s="1">
        <v>45153</v>
      </c>
      <c r="C166" t="s">
        <v>49</v>
      </c>
      <c r="D166" t="s">
        <v>64</v>
      </c>
      <c r="E166" s="3">
        <v>864</v>
      </c>
      <c r="F166" s="3">
        <v>3</v>
      </c>
      <c r="G166" s="3">
        <v>2592</v>
      </c>
      <c r="H166" s="3">
        <v>47</v>
      </c>
      <c r="I166" t="s">
        <v>32</v>
      </c>
      <c r="J166" t="s">
        <v>19</v>
      </c>
      <c r="K166" t="s">
        <v>20</v>
      </c>
      <c r="L166" t="s">
        <v>28</v>
      </c>
      <c r="M166" s="2">
        <v>0.25</v>
      </c>
      <c r="N166" t="s">
        <v>29</v>
      </c>
      <c r="O166" t="str">
        <f t="shared" si="5"/>
        <v>August</v>
      </c>
      <c r="P166" t="str">
        <f t="shared" si="4"/>
        <v>Adult</v>
      </c>
    </row>
    <row r="167" spans="1:16" x14ac:dyDescent="0.25">
      <c r="A167">
        <v>1166</v>
      </c>
      <c r="B167" s="1">
        <v>45216</v>
      </c>
      <c r="C167" t="s">
        <v>16</v>
      </c>
      <c r="D167" t="s">
        <v>56</v>
      </c>
      <c r="E167" s="3">
        <v>1326</v>
      </c>
      <c r="F167" s="3">
        <v>4</v>
      </c>
      <c r="G167" s="3">
        <v>5304</v>
      </c>
      <c r="H167" s="3">
        <v>37</v>
      </c>
      <c r="I167" t="s">
        <v>32</v>
      </c>
      <c r="J167" t="s">
        <v>43</v>
      </c>
      <c r="K167" t="s">
        <v>42</v>
      </c>
      <c r="L167" t="s">
        <v>38</v>
      </c>
      <c r="M167" s="2">
        <v>0.15</v>
      </c>
      <c r="N167" t="s">
        <v>29</v>
      </c>
      <c r="O167" t="str">
        <f t="shared" si="5"/>
        <v>October</v>
      </c>
      <c r="P167" t="str">
        <f t="shared" si="4"/>
        <v>Adult</v>
      </c>
    </row>
    <row r="168" spans="1:16" x14ac:dyDescent="0.25">
      <c r="A168">
        <v>1167</v>
      </c>
      <c r="B168" s="1">
        <v>45015</v>
      </c>
      <c r="C168" t="s">
        <v>30</v>
      </c>
      <c r="D168" t="s">
        <v>31</v>
      </c>
      <c r="E168" s="3">
        <v>183</v>
      </c>
      <c r="F168" s="3">
        <v>5</v>
      </c>
      <c r="G168" s="3">
        <v>915</v>
      </c>
      <c r="H168" s="3">
        <v>32</v>
      </c>
      <c r="I168" t="s">
        <v>32</v>
      </c>
      <c r="J168" t="s">
        <v>51</v>
      </c>
      <c r="K168" t="s">
        <v>45</v>
      </c>
      <c r="L168" t="s">
        <v>47</v>
      </c>
      <c r="M168" s="2">
        <v>0.05</v>
      </c>
      <c r="N168" t="s">
        <v>22</v>
      </c>
      <c r="O168" t="str">
        <f t="shared" si="5"/>
        <v>March</v>
      </c>
      <c r="P168" t="str">
        <f t="shared" si="4"/>
        <v>Adult</v>
      </c>
    </row>
    <row r="169" spans="1:16" x14ac:dyDescent="0.25">
      <c r="A169">
        <v>1168</v>
      </c>
      <c r="B169" s="1">
        <v>45283</v>
      </c>
      <c r="C169" t="s">
        <v>24</v>
      </c>
      <c r="D169" t="s">
        <v>54</v>
      </c>
      <c r="E169" s="3">
        <v>213</v>
      </c>
      <c r="F169" s="3">
        <v>4</v>
      </c>
      <c r="G169" s="3">
        <v>852</v>
      </c>
      <c r="H169" s="3">
        <v>23</v>
      </c>
      <c r="I169" t="s">
        <v>32</v>
      </c>
      <c r="J169" t="s">
        <v>63</v>
      </c>
      <c r="K169" t="s">
        <v>27</v>
      </c>
      <c r="L169" t="s">
        <v>38</v>
      </c>
      <c r="M169" s="2">
        <v>0.05</v>
      </c>
      <c r="N169" t="s">
        <v>29</v>
      </c>
      <c r="O169" t="str">
        <f t="shared" si="5"/>
        <v>December</v>
      </c>
      <c r="P169" t="str">
        <f t="shared" si="4"/>
        <v>Young Adult</v>
      </c>
    </row>
    <row r="170" spans="1:16" x14ac:dyDescent="0.25">
      <c r="A170">
        <v>1169</v>
      </c>
      <c r="B170" s="1">
        <v>45284</v>
      </c>
      <c r="C170" t="s">
        <v>24</v>
      </c>
      <c r="D170" t="s">
        <v>25</v>
      </c>
      <c r="E170" s="3">
        <v>284</v>
      </c>
      <c r="F170" s="3">
        <v>4</v>
      </c>
      <c r="G170" s="3">
        <v>1136</v>
      </c>
      <c r="H170" s="3">
        <v>44</v>
      </c>
      <c r="I170" t="s">
        <v>32</v>
      </c>
      <c r="J170" t="s">
        <v>41</v>
      </c>
      <c r="K170" t="s">
        <v>45</v>
      </c>
      <c r="L170" t="s">
        <v>21</v>
      </c>
      <c r="M170" s="2">
        <v>0.3</v>
      </c>
      <c r="N170" t="s">
        <v>22</v>
      </c>
      <c r="O170" t="str">
        <f t="shared" si="5"/>
        <v>December</v>
      </c>
      <c r="P170" t="str">
        <f t="shared" si="4"/>
        <v>Adult</v>
      </c>
    </row>
    <row r="171" spans="1:16" x14ac:dyDescent="0.25">
      <c r="A171">
        <v>1170</v>
      </c>
      <c r="B171" s="1">
        <v>45319</v>
      </c>
      <c r="C171" t="s">
        <v>52</v>
      </c>
      <c r="D171" t="s">
        <v>53</v>
      </c>
      <c r="E171" s="3">
        <v>585</v>
      </c>
      <c r="F171" s="3">
        <v>3</v>
      </c>
      <c r="G171" s="3">
        <v>1755</v>
      </c>
      <c r="H171" s="3">
        <v>22</v>
      </c>
      <c r="I171" t="s">
        <v>32</v>
      </c>
      <c r="J171" t="s">
        <v>19</v>
      </c>
      <c r="K171" t="s">
        <v>37</v>
      </c>
      <c r="L171" t="s">
        <v>34</v>
      </c>
      <c r="M171" s="2">
        <v>0.15</v>
      </c>
      <c r="N171" t="s">
        <v>29</v>
      </c>
      <c r="O171" t="str">
        <f t="shared" si="5"/>
        <v>January</v>
      </c>
      <c r="P171" t="str">
        <f t="shared" si="4"/>
        <v>Young Adult</v>
      </c>
    </row>
    <row r="172" spans="1:16" x14ac:dyDescent="0.25">
      <c r="A172">
        <v>1171</v>
      </c>
      <c r="B172" s="1">
        <v>44996</v>
      </c>
      <c r="C172" t="s">
        <v>52</v>
      </c>
      <c r="D172" t="s">
        <v>53</v>
      </c>
      <c r="E172" s="3">
        <v>1036</v>
      </c>
      <c r="F172" s="3">
        <v>1</v>
      </c>
      <c r="G172" s="3">
        <v>1036</v>
      </c>
      <c r="H172" s="3">
        <v>32</v>
      </c>
      <c r="I172" t="s">
        <v>32</v>
      </c>
      <c r="J172" t="s">
        <v>26</v>
      </c>
      <c r="K172" t="s">
        <v>45</v>
      </c>
      <c r="L172" t="s">
        <v>38</v>
      </c>
      <c r="M172" s="2">
        <v>0.3</v>
      </c>
      <c r="N172" t="s">
        <v>29</v>
      </c>
      <c r="O172" t="str">
        <f t="shared" si="5"/>
        <v>March</v>
      </c>
      <c r="P172" t="str">
        <f t="shared" si="4"/>
        <v>Adult</v>
      </c>
    </row>
    <row r="173" spans="1:16" x14ac:dyDescent="0.25">
      <c r="A173">
        <v>1172</v>
      </c>
      <c r="B173" s="1">
        <v>45053</v>
      </c>
      <c r="C173" t="s">
        <v>24</v>
      </c>
      <c r="D173" t="s">
        <v>76</v>
      </c>
      <c r="E173" s="3">
        <v>1035</v>
      </c>
      <c r="F173" s="3">
        <v>3</v>
      </c>
      <c r="G173" s="3">
        <v>3105</v>
      </c>
      <c r="H173" s="3">
        <v>51</v>
      </c>
      <c r="I173" t="s">
        <v>18</v>
      </c>
      <c r="J173" t="s">
        <v>63</v>
      </c>
      <c r="K173" t="s">
        <v>42</v>
      </c>
      <c r="L173" t="s">
        <v>47</v>
      </c>
      <c r="M173" s="2">
        <v>0.3</v>
      </c>
      <c r="N173" t="s">
        <v>29</v>
      </c>
      <c r="O173" t="str">
        <f t="shared" si="5"/>
        <v>May</v>
      </c>
      <c r="P173" t="str">
        <f t="shared" si="4"/>
        <v>Middle-Aged</v>
      </c>
    </row>
    <row r="174" spans="1:16" x14ac:dyDescent="0.25">
      <c r="A174">
        <v>1173</v>
      </c>
      <c r="B174" s="1">
        <v>45157</v>
      </c>
      <c r="C174" t="s">
        <v>16</v>
      </c>
      <c r="D174" t="s">
        <v>62</v>
      </c>
      <c r="E174" s="3">
        <v>606</v>
      </c>
      <c r="F174" s="3">
        <v>4</v>
      </c>
      <c r="G174" s="3">
        <v>2424</v>
      </c>
      <c r="H174" s="3">
        <v>18</v>
      </c>
      <c r="I174" t="s">
        <v>32</v>
      </c>
      <c r="J174" t="s">
        <v>63</v>
      </c>
      <c r="K174" t="s">
        <v>42</v>
      </c>
      <c r="L174" t="s">
        <v>47</v>
      </c>
      <c r="M174" s="2">
        <v>0.3</v>
      </c>
      <c r="N174" t="s">
        <v>29</v>
      </c>
      <c r="O174" t="str">
        <f t="shared" si="5"/>
        <v>August</v>
      </c>
      <c r="P174" t="str">
        <f t="shared" si="4"/>
        <v>Young Adult</v>
      </c>
    </row>
    <row r="175" spans="1:16" x14ac:dyDescent="0.25">
      <c r="A175">
        <v>1174</v>
      </c>
      <c r="B175" s="1">
        <v>45084</v>
      </c>
      <c r="C175" t="s">
        <v>39</v>
      </c>
      <c r="D175" t="s">
        <v>68</v>
      </c>
      <c r="E175" s="3">
        <v>447</v>
      </c>
      <c r="F175" s="3">
        <v>3</v>
      </c>
      <c r="G175" s="3">
        <v>1341</v>
      </c>
      <c r="H175" s="3">
        <v>19</v>
      </c>
      <c r="I175" t="s">
        <v>18</v>
      </c>
      <c r="J175" t="s">
        <v>60</v>
      </c>
      <c r="K175" t="s">
        <v>42</v>
      </c>
      <c r="L175" t="s">
        <v>28</v>
      </c>
      <c r="M175" s="2">
        <v>0.2</v>
      </c>
      <c r="N175" t="s">
        <v>22</v>
      </c>
      <c r="O175" t="str">
        <f t="shared" si="5"/>
        <v>June</v>
      </c>
      <c r="P175" t="str">
        <f t="shared" si="4"/>
        <v>Young Adult</v>
      </c>
    </row>
    <row r="176" spans="1:16" x14ac:dyDescent="0.25">
      <c r="A176">
        <v>1175</v>
      </c>
      <c r="B176" s="1">
        <v>45195</v>
      </c>
      <c r="C176" t="s">
        <v>39</v>
      </c>
      <c r="D176" t="s">
        <v>61</v>
      </c>
      <c r="E176" s="3">
        <v>350</v>
      </c>
      <c r="F176" s="3">
        <v>4</v>
      </c>
      <c r="G176" s="3">
        <v>1400</v>
      </c>
      <c r="H176" s="3">
        <v>19</v>
      </c>
      <c r="I176" t="s">
        <v>18</v>
      </c>
      <c r="J176" t="s">
        <v>55</v>
      </c>
      <c r="K176" t="s">
        <v>42</v>
      </c>
      <c r="L176" t="s">
        <v>34</v>
      </c>
      <c r="M176" s="2">
        <v>0.05</v>
      </c>
      <c r="N176" t="s">
        <v>29</v>
      </c>
      <c r="O176" t="str">
        <f t="shared" si="5"/>
        <v>September</v>
      </c>
      <c r="P176" t="str">
        <f t="shared" si="4"/>
        <v>Young Adult</v>
      </c>
    </row>
    <row r="177" spans="1:16" x14ac:dyDescent="0.25">
      <c r="A177">
        <v>1176</v>
      </c>
      <c r="B177" s="1">
        <v>45005</v>
      </c>
      <c r="C177" t="s">
        <v>30</v>
      </c>
      <c r="D177" t="s">
        <v>79</v>
      </c>
      <c r="E177" s="3">
        <v>1352</v>
      </c>
      <c r="F177" s="3">
        <v>4</v>
      </c>
      <c r="G177" s="3">
        <v>5408</v>
      </c>
      <c r="H177" s="3">
        <v>30</v>
      </c>
      <c r="I177" t="s">
        <v>32</v>
      </c>
      <c r="J177" t="s">
        <v>58</v>
      </c>
      <c r="K177" t="s">
        <v>27</v>
      </c>
      <c r="L177" t="s">
        <v>34</v>
      </c>
      <c r="M177" s="2">
        <v>0.3</v>
      </c>
      <c r="N177" t="s">
        <v>29</v>
      </c>
      <c r="O177" t="str">
        <f t="shared" si="5"/>
        <v>March</v>
      </c>
      <c r="P177" t="str">
        <f t="shared" si="4"/>
        <v>Adult</v>
      </c>
    </row>
    <row r="178" spans="1:16" x14ac:dyDescent="0.25">
      <c r="A178">
        <v>1177</v>
      </c>
      <c r="B178" s="1">
        <v>45257</v>
      </c>
      <c r="C178" t="s">
        <v>30</v>
      </c>
      <c r="D178" t="s">
        <v>69</v>
      </c>
      <c r="E178" s="3">
        <v>1432</v>
      </c>
      <c r="F178" s="3">
        <v>2</v>
      </c>
      <c r="G178" s="3">
        <v>2864</v>
      </c>
      <c r="H178" s="3">
        <v>59</v>
      </c>
      <c r="I178" t="s">
        <v>18</v>
      </c>
      <c r="J178" t="s">
        <v>19</v>
      </c>
      <c r="K178" t="s">
        <v>45</v>
      </c>
      <c r="L178" t="s">
        <v>34</v>
      </c>
      <c r="M178" s="2">
        <v>0.3</v>
      </c>
      <c r="N178" t="s">
        <v>29</v>
      </c>
      <c r="O178" t="str">
        <f t="shared" si="5"/>
        <v>November</v>
      </c>
      <c r="P178" t="str">
        <f t="shared" si="4"/>
        <v>Middle-Aged</v>
      </c>
    </row>
    <row r="179" spans="1:16" x14ac:dyDescent="0.25">
      <c r="A179">
        <v>1178</v>
      </c>
      <c r="B179" s="1">
        <v>45073</v>
      </c>
      <c r="C179" t="s">
        <v>16</v>
      </c>
      <c r="D179" t="s">
        <v>83</v>
      </c>
      <c r="E179" s="3">
        <v>540</v>
      </c>
      <c r="F179" s="3">
        <v>3</v>
      </c>
      <c r="G179" s="3">
        <v>1620</v>
      </c>
      <c r="H179" s="3">
        <v>26</v>
      </c>
      <c r="I179" t="s">
        <v>32</v>
      </c>
      <c r="J179" t="s">
        <v>26</v>
      </c>
      <c r="K179" t="s">
        <v>33</v>
      </c>
      <c r="L179" t="s">
        <v>38</v>
      </c>
      <c r="M179" s="2">
        <v>0.05</v>
      </c>
      <c r="N179" t="s">
        <v>22</v>
      </c>
      <c r="O179" t="str">
        <f t="shared" si="5"/>
        <v>May</v>
      </c>
      <c r="P179" t="str">
        <f t="shared" si="4"/>
        <v>Young Adult</v>
      </c>
    </row>
    <row r="180" spans="1:16" x14ac:dyDescent="0.25">
      <c r="A180">
        <v>1179</v>
      </c>
      <c r="B180" s="1">
        <v>44940</v>
      </c>
      <c r="C180" t="s">
        <v>30</v>
      </c>
      <c r="D180" t="s">
        <v>79</v>
      </c>
      <c r="E180" s="3">
        <v>1103</v>
      </c>
      <c r="F180" s="3">
        <v>2</v>
      </c>
      <c r="G180" s="3">
        <v>2206</v>
      </c>
      <c r="H180" s="3">
        <v>51</v>
      </c>
      <c r="I180" t="s">
        <v>18</v>
      </c>
      <c r="J180" t="s">
        <v>19</v>
      </c>
      <c r="K180" t="s">
        <v>20</v>
      </c>
      <c r="L180" t="s">
        <v>47</v>
      </c>
      <c r="M180" s="2">
        <v>0.1</v>
      </c>
      <c r="N180" t="s">
        <v>29</v>
      </c>
      <c r="O180" t="str">
        <f t="shared" si="5"/>
        <v>January</v>
      </c>
      <c r="P180" t="str">
        <f t="shared" si="4"/>
        <v>Middle-Aged</v>
      </c>
    </row>
    <row r="181" spans="1:16" x14ac:dyDescent="0.25">
      <c r="A181">
        <v>1180</v>
      </c>
      <c r="B181" s="1">
        <v>45104</v>
      </c>
      <c r="C181" t="s">
        <v>30</v>
      </c>
      <c r="D181" t="s">
        <v>44</v>
      </c>
      <c r="E181" s="3">
        <v>79</v>
      </c>
      <c r="F181" s="3">
        <v>3</v>
      </c>
      <c r="G181" s="3">
        <v>237</v>
      </c>
      <c r="H181" s="3">
        <v>28</v>
      </c>
      <c r="I181" t="s">
        <v>32</v>
      </c>
      <c r="J181" t="s">
        <v>60</v>
      </c>
      <c r="K181" t="s">
        <v>37</v>
      </c>
      <c r="L181" t="s">
        <v>47</v>
      </c>
      <c r="M181" s="2">
        <v>0.1</v>
      </c>
      <c r="N181" t="s">
        <v>29</v>
      </c>
      <c r="O181" t="str">
        <f t="shared" si="5"/>
        <v>June</v>
      </c>
      <c r="P181" t="str">
        <f t="shared" si="4"/>
        <v>Young Adult</v>
      </c>
    </row>
    <row r="182" spans="1:16" x14ac:dyDescent="0.25">
      <c r="A182">
        <v>1181</v>
      </c>
      <c r="B182" s="1">
        <v>45187</v>
      </c>
      <c r="C182" t="s">
        <v>24</v>
      </c>
      <c r="D182" t="s">
        <v>80</v>
      </c>
      <c r="E182" s="3">
        <v>1038</v>
      </c>
      <c r="F182" s="3">
        <v>2</v>
      </c>
      <c r="G182" s="3">
        <v>2076</v>
      </c>
      <c r="H182" s="3">
        <v>20</v>
      </c>
      <c r="I182" t="s">
        <v>32</v>
      </c>
      <c r="J182" t="s">
        <v>26</v>
      </c>
      <c r="K182" t="s">
        <v>37</v>
      </c>
      <c r="L182" t="s">
        <v>38</v>
      </c>
      <c r="M182" s="2">
        <v>0.25</v>
      </c>
      <c r="N182" t="s">
        <v>29</v>
      </c>
      <c r="O182" t="str">
        <f t="shared" si="5"/>
        <v>September</v>
      </c>
      <c r="P182" t="str">
        <f t="shared" si="4"/>
        <v>Young Adult</v>
      </c>
    </row>
    <row r="183" spans="1:16" x14ac:dyDescent="0.25">
      <c r="A183">
        <v>1182</v>
      </c>
      <c r="B183" s="1">
        <v>45156</v>
      </c>
      <c r="C183" t="s">
        <v>35</v>
      </c>
      <c r="D183" t="s">
        <v>74</v>
      </c>
      <c r="E183" s="3">
        <v>287</v>
      </c>
      <c r="F183" s="3">
        <v>1</v>
      </c>
      <c r="G183" s="3">
        <v>287</v>
      </c>
      <c r="H183" s="3">
        <v>51</v>
      </c>
      <c r="I183" t="s">
        <v>18</v>
      </c>
      <c r="J183" t="s">
        <v>60</v>
      </c>
      <c r="K183" t="s">
        <v>27</v>
      </c>
      <c r="L183" t="s">
        <v>38</v>
      </c>
      <c r="M183" s="2">
        <v>0.1</v>
      </c>
      <c r="N183" t="s">
        <v>22</v>
      </c>
      <c r="O183" t="str">
        <f t="shared" si="5"/>
        <v>August</v>
      </c>
      <c r="P183" t="str">
        <f t="shared" si="4"/>
        <v>Middle-Aged</v>
      </c>
    </row>
    <row r="184" spans="1:16" x14ac:dyDescent="0.25">
      <c r="A184">
        <v>1183</v>
      </c>
      <c r="B184" s="1">
        <v>44933</v>
      </c>
      <c r="C184" t="s">
        <v>35</v>
      </c>
      <c r="D184" t="s">
        <v>74</v>
      </c>
      <c r="E184" s="3">
        <v>490</v>
      </c>
      <c r="F184" s="3">
        <v>3</v>
      </c>
      <c r="G184" s="3">
        <v>1470</v>
      </c>
      <c r="H184" s="3">
        <v>40</v>
      </c>
      <c r="I184" t="s">
        <v>32</v>
      </c>
      <c r="J184" t="s">
        <v>43</v>
      </c>
      <c r="K184" t="s">
        <v>42</v>
      </c>
      <c r="L184" t="s">
        <v>47</v>
      </c>
      <c r="M184" s="2">
        <v>0.25</v>
      </c>
      <c r="N184" t="s">
        <v>22</v>
      </c>
      <c r="O184" t="str">
        <f t="shared" si="5"/>
        <v>January</v>
      </c>
      <c r="P184" t="str">
        <f t="shared" si="4"/>
        <v>Adult</v>
      </c>
    </row>
    <row r="185" spans="1:16" x14ac:dyDescent="0.25">
      <c r="A185">
        <v>1184</v>
      </c>
      <c r="B185" s="1">
        <v>44979</v>
      </c>
      <c r="C185" t="s">
        <v>39</v>
      </c>
      <c r="D185" t="s">
        <v>40</v>
      </c>
      <c r="E185" s="3">
        <v>428</v>
      </c>
      <c r="F185" s="3">
        <v>1</v>
      </c>
      <c r="G185" s="3">
        <v>428</v>
      </c>
      <c r="H185" s="3">
        <v>60</v>
      </c>
      <c r="I185" t="s">
        <v>18</v>
      </c>
      <c r="J185" t="s">
        <v>55</v>
      </c>
      <c r="K185" t="s">
        <v>37</v>
      </c>
      <c r="L185" t="s">
        <v>21</v>
      </c>
      <c r="M185" s="2">
        <v>0.25</v>
      </c>
      <c r="N185" t="s">
        <v>29</v>
      </c>
      <c r="O185" t="str">
        <f t="shared" si="5"/>
        <v>February</v>
      </c>
      <c r="P185" t="str">
        <f t="shared" si="4"/>
        <v>Middle-Aged</v>
      </c>
    </row>
    <row r="186" spans="1:16" x14ac:dyDescent="0.25">
      <c r="A186">
        <v>1185</v>
      </c>
      <c r="B186" s="1">
        <v>45209</v>
      </c>
      <c r="C186" t="s">
        <v>30</v>
      </c>
      <c r="D186" t="s">
        <v>44</v>
      </c>
      <c r="E186" s="3">
        <v>810</v>
      </c>
      <c r="F186" s="3">
        <v>1</v>
      </c>
      <c r="G186" s="3">
        <v>810</v>
      </c>
      <c r="H186" s="3">
        <v>27</v>
      </c>
      <c r="I186" t="s">
        <v>18</v>
      </c>
      <c r="J186" t="s">
        <v>51</v>
      </c>
      <c r="K186" t="s">
        <v>37</v>
      </c>
      <c r="L186" t="s">
        <v>28</v>
      </c>
      <c r="M186" s="2">
        <v>0.1</v>
      </c>
      <c r="N186" t="s">
        <v>29</v>
      </c>
      <c r="O186" t="str">
        <f t="shared" si="5"/>
        <v>October</v>
      </c>
      <c r="P186" t="str">
        <f t="shared" si="4"/>
        <v>Young Adult</v>
      </c>
    </row>
    <row r="187" spans="1:16" x14ac:dyDescent="0.25">
      <c r="A187">
        <v>1186</v>
      </c>
      <c r="B187" s="1">
        <v>45021</v>
      </c>
      <c r="C187" t="s">
        <v>35</v>
      </c>
      <c r="D187" t="s">
        <v>74</v>
      </c>
      <c r="E187" s="3">
        <v>976</v>
      </c>
      <c r="F187" s="3">
        <v>2</v>
      </c>
      <c r="G187" s="3">
        <v>1952</v>
      </c>
      <c r="H187" s="3">
        <v>31</v>
      </c>
      <c r="I187" t="s">
        <v>32</v>
      </c>
      <c r="J187" t="s">
        <v>41</v>
      </c>
      <c r="K187" t="s">
        <v>42</v>
      </c>
      <c r="L187" t="s">
        <v>21</v>
      </c>
      <c r="M187" s="2">
        <v>0.25</v>
      </c>
      <c r="N187" t="s">
        <v>22</v>
      </c>
      <c r="O187" t="str">
        <f t="shared" si="5"/>
        <v>April</v>
      </c>
      <c r="P187" t="str">
        <f t="shared" si="4"/>
        <v>Adult</v>
      </c>
    </row>
    <row r="188" spans="1:16" x14ac:dyDescent="0.25">
      <c r="A188">
        <v>1187</v>
      </c>
      <c r="B188" s="1">
        <v>45077</v>
      </c>
      <c r="C188" t="s">
        <v>49</v>
      </c>
      <c r="D188" t="s">
        <v>64</v>
      </c>
      <c r="E188" s="3">
        <v>971</v>
      </c>
      <c r="F188" s="3">
        <v>4</v>
      </c>
      <c r="G188" s="3">
        <v>3884</v>
      </c>
      <c r="H188" s="3">
        <v>27</v>
      </c>
      <c r="I188" t="s">
        <v>32</v>
      </c>
      <c r="J188" t="s">
        <v>51</v>
      </c>
      <c r="K188" t="s">
        <v>20</v>
      </c>
      <c r="L188" t="s">
        <v>47</v>
      </c>
      <c r="M188" s="2">
        <v>0.25</v>
      </c>
      <c r="N188" t="s">
        <v>29</v>
      </c>
      <c r="O188" t="str">
        <f t="shared" si="5"/>
        <v>May</v>
      </c>
      <c r="P188" t="str">
        <f t="shared" si="4"/>
        <v>Young Adult</v>
      </c>
    </row>
    <row r="189" spans="1:16" x14ac:dyDescent="0.25">
      <c r="A189">
        <v>1188</v>
      </c>
      <c r="B189" s="1">
        <v>44960</v>
      </c>
      <c r="C189" t="s">
        <v>24</v>
      </c>
      <c r="D189" t="s">
        <v>25</v>
      </c>
      <c r="E189" s="3">
        <v>1231</v>
      </c>
      <c r="F189" s="3">
        <v>4</v>
      </c>
      <c r="G189" s="3">
        <v>4924</v>
      </c>
      <c r="H189" s="3">
        <v>59</v>
      </c>
      <c r="I189" t="s">
        <v>18</v>
      </c>
      <c r="J189" t="s">
        <v>48</v>
      </c>
      <c r="K189" t="s">
        <v>37</v>
      </c>
      <c r="L189" t="s">
        <v>38</v>
      </c>
      <c r="M189" s="2">
        <v>0.25</v>
      </c>
      <c r="N189" t="s">
        <v>29</v>
      </c>
      <c r="O189" t="str">
        <f t="shared" si="5"/>
        <v>February</v>
      </c>
      <c r="P189" t="str">
        <f t="shared" si="4"/>
        <v>Middle-Aged</v>
      </c>
    </row>
    <row r="190" spans="1:16" x14ac:dyDescent="0.25">
      <c r="A190">
        <v>1189</v>
      </c>
      <c r="B190" s="1">
        <v>45100</v>
      </c>
      <c r="C190" t="s">
        <v>16</v>
      </c>
      <c r="D190" t="s">
        <v>71</v>
      </c>
      <c r="E190" s="3">
        <v>1419</v>
      </c>
      <c r="F190" s="3">
        <v>1</v>
      </c>
      <c r="G190" s="3">
        <v>1419</v>
      </c>
      <c r="H190" s="3">
        <v>37</v>
      </c>
      <c r="I190" t="s">
        <v>18</v>
      </c>
      <c r="J190" t="s">
        <v>41</v>
      </c>
      <c r="K190" t="s">
        <v>20</v>
      </c>
      <c r="L190" t="s">
        <v>34</v>
      </c>
      <c r="M190" s="2">
        <v>0.1</v>
      </c>
      <c r="N190" t="s">
        <v>22</v>
      </c>
      <c r="O190" t="str">
        <f t="shared" si="5"/>
        <v>June</v>
      </c>
      <c r="P190" t="str">
        <f t="shared" si="4"/>
        <v>Adult</v>
      </c>
    </row>
    <row r="191" spans="1:16" x14ac:dyDescent="0.25">
      <c r="A191">
        <v>1190</v>
      </c>
      <c r="B191" s="1">
        <v>45253</v>
      </c>
      <c r="C191" t="s">
        <v>49</v>
      </c>
      <c r="D191" t="s">
        <v>50</v>
      </c>
      <c r="E191" s="3">
        <v>1199</v>
      </c>
      <c r="F191" s="3">
        <v>5</v>
      </c>
      <c r="G191" s="3">
        <v>5995</v>
      </c>
      <c r="H191" s="3">
        <v>58</v>
      </c>
      <c r="I191" t="s">
        <v>32</v>
      </c>
      <c r="J191" t="s">
        <v>19</v>
      </c>
      <c r="K191" t="s">
        <v>37</v>
      </c>
      <c r="L191" t="s">
        <v>38</v>
      </c>
      <c r="M191" s="2">
        <v>0.3</v>
      </c>
      <c r="N191" t="s">
        <v>29</v>
      </c>
      <c r="O191" t="str">
        <f t="shared" si="5"/>
        <v>November</v>
      </c>
      <c r="P191" t="str">
        <f t="shared" si="4"/>
        <v>Middle-Aged</v>
      </c>
    </row>
    <row r="192" spans="1:16" x14ac:dyDescent="0.25">
      <c r="A192">
        <v>1191</v>
      </c>
      <c r="B192" s="1">
        <v>45293</v>
      </c>
      <c r="C192" t="s">
        <v>30</v>
      </c>
      <c r="D192" t="s">
        <v>69</v>
      </c>
      <c r="E192" s="3">
        <v>937</v>
      </c>
      <c r="F192" s="3">
        <v>3</v>
      </c>
      <c r="G192" s="3">
        <v>2811</v>
      </c>
      <c r="H192" s="3">
        <v>23</v>
      </c>
      <c r="I192" t="s">
        <v>18</v>
      </c>
      <c r="J192" t="s">
        <v>43</v>
      </c>
      <c r="K192" t="s">
        <v>20</v>
      </c>
      <c r="L192" t="s">
        <v>28</v>
      </c>
      <c r="M192" s="2">
        <v>0.25</v>
      </c>
      <c r="N192" t="s">
        <v>22</v>
      </c>
      <c r="O192" t="str">
        <f t="shared" si="5"/>
        <v>January</v>
      </c>
      <c r="P192" t="str">
        <f t="shared" si="4"/>
        <v>Young Adult</v>
      </c>
    </row>
    <row r="193" spans="1:16" x14ac:dyDescent="0.25">
      <c r="A193">
        <v>1192</v>
      </c>
      <c r="B193" s="1">
        <v>44947</v>
      </c>
      <c r="C193" t="s">
        <v>16</v>
      </c>
      <c r="D193" t="s">
        <v>71</v>
      </c>
      <c r="E193" s="3">
        <v>1073</v>
      </c>
      <c r="F193" s="3">
        <v>5</v>
      </c>
      <c r="G193" s="3">
        <v>5365</v>
      </c>
      <c r="H193" s="3">
        <v>53</v>
      </c>
      <c r="I193" t="s">
        <v>18</v>
      </c>
      <c r="J193" t="s">
        <v>43</v>
      </c>
      <c r="K193" t="s">
        <v>27</v>
      </c>
      <c r="L193" t="s">
        <v>47</v>
      </c>
      <c r="M193" s="2">
        <v>0.05</v>
      </c>
      <c r="N193" t="s">
        <v>22</v>
      </c>
      <c r="O193" t="str">
        <f t="shared" si="5"/>
        <v>January</v>
      </c>
      <c r="P193" t="str">
        <f t="shared" si="4"/>
        <v>Middle-Aged</v>
      </c>
    </row>
    <row r="194" spans="1:16" x14ac:dyDescent="0.25">
      <c r="A194">
        <v>1193</v>
      </c>
      <c r="B194" s="1">
        <v>45099</v>
      </c>
      <c r="C194" t="s">
        <v>24</v>
      </c>
      <c r="D194" t="s">
        <v>25</v>
      </c>
      <c r="E194" s="3">
        <v>456</v>
      </c>
      <c r="F194" s="3">
        <v>1</v>
      </c>
      <c r="G194" s="3">
        <v>456</v>
      </c>
      <c r="H194" s="3">
        <v>41</v>
      </c>
      <c r="I194" t="s">
        <v>18</v>
      </c>
      <c r="J194" t="s">
        <v>55</v>
      </c>
      <c r="K194" t="s">
        <v>27</v>
      </c>
      <c r="L194" t="s">
        <v>47</v>
      </c>
      <c r="M194" s="2">
        <v>0.3</v>
      </c>
      <c r="N194" t="s">
        <v>29</v>
      </c>
      <c r="O194" t="str">
        <f t="shared" si="5"/>
        <v>June</v>
      </c>
      <c r="P194" t="str">
        <f t="shared" ref="P194:P257" si="6">IF(H194&lt;13, "Child", IF(H194&lt;18, "Teen", IF(H194&lt;30, "Young Adult", IF(H194&lt;50, "Adult", IF(H194&lt;65, "Middle-Aged", "Senior")))))</f>
        <v>Adult</v>
      </c>
    </row>
    <row r="195" spans="1:16" x14ac:dyDescent="0.25">
      <c r="A195">
        <v>1194</v>
      </c>
      <c r="B195" s="1">
        <v>45159</v>
      </c>
      <c r="C195" t="s">
        <v>16</v>
      </c>
      <c r="D195" t="s">
        <v>56</v>
      </c>
      <c r="E195" s="3">
        <v>419</v>
      </c>
      <c r="F195" s="3">
        <v>4</v>
      </c>
      <c r="G195" s="3">
        <v>1676</v>
      </c>
      <c r="H195" s="3">
        <v>50</v>
      </c>
      <c r="I195" t="s">
        <v>32</v>
      </c>
      <c r="J195" t="s">
        <v>63</v>
      </c>
      <c r="K195" t="s">
        <v>37</v>
      </c>
      <c r="L195" t="s">
        <v>47</v>
      </c>
      <c r="M195" s="2">
        <v>0.05</v>
      </c>
      <c r="N195" t="s">
        <v>29</v>
      </c>
      <c r="O195" t="str">
        <f t="shared" ref="O195:O258" si="7">TEXT(B195, "MMMM")</f>
        <v>August</v>
      </c>
      <c r="P195" t="str">
        <f t="shared" si="6"/>
        <v>Middle-Aged</v>
      </c>
    </row>
    <row r="196" spans="1:16" x14ac:dyDescent="0.25">
      <c r="A196">
        <v>1195</v>
      </c>
      <c r="B196" s="1">
        <v>45124</v>
      </c>
      <c r="C196" t="s">
        <v>35</v>
      </c>
      <c r="D196" t="s">
        <v>36</v>
      </c>
      <c r="E196" s="3">
        <v>601</v>
      </c>
      <c r="F196" s="3">
        <v>4</v>
      </c>
      <c r="G196" s="3">
        <v>2404</v>
      </c>
      <c r="H196" s="3">
        <v>44</v>
      </c>
      <c r="I196" t="s">
        <v>32</v>
      </c>
      <c r="J196" t="s">
        <v>26</v>
      </c>
      <c r="K196" t="s">
        <v>33</v>
      </c>
      <c r="L196" t="s">
        <v>47</v>
      </c>
      <c r="M196" s="2">
        <v>0.1</v>
      </c>
      <c r="N196" t="s">
        <v>29</v>
      </c>
      <c r="O196" t="str">
        <f t="shared" si="7"/>
        <v>July</v>
      </c>
      <c r="P196" t="str">
        <f t="shared" si="6"/>
        <v>Adult</v>
      </c>
    </row>
    <row r="197" spans="1:16" x14ac:dyDescent="0.25">
      <c r="A197">
        <v>1196</v>
      </c>
      <c r="B197" s="1">
        <v>45193</v>
      </c>
      <c r="C197" t="s">
        <v>30</v>
      </c>
      <c r="D197" t="s">
        <v>77</v>
      </c>
      <c r="E197" s="3">
        <v>1350</v>
      </c>
      <c r="F197" s="3">
        <v>4</v>
      </c>
      <c r="G197" s="3">
        <v>5400</v>
      </c>
      <c r="H197" s="3">
        <v>25</v>
      </c>
      <c r="I197" t="s">
        <v>32</v>
      </c>
      <c r="J197" t="s">
        <v>43</v>
      </c>
      <c r="K197" t="s">
        <v>45</v>
      </c>
      <c r="L197" t="s">
        <v>21</v>
      </c>
      <c r="M197" s="2">
        <v>0.15</v>
      </c>
      <c r="N197" t="s">
        <v>29</v>
      </c>
      <c r="O197" t="str">
        <f t="shared" si="7"/>
        <v>September</v>
      </c>
      <c r="P197" t="str">
        <f t="shared" si="6"/>
        <v>Young Adult</v>
      </c>
    </row>
    <row r="198" spans="1:16" x14ac:dyDescent="0.25">
      <c r="A198">
        <v>1197</v>
      </c>
      <c r="B198" s="1">
        <v>45291</v>
      </c>
      <c r="C198" t="s">
        <v>24</v>
      </c>
      <c r="D198" t="s">
        <v>80</v>
      </c>
      <c r="E198" s="3">
        <v>511</v>
      </c>
      <c r="F198" s="3">
        <v>4</v>
      </c>
      <c r="G198" s="3">
        <v>2044</v>
      </c>
      <c r="H198" s="3">
        <v>53</v>
      </c>
      <c r="I198" t="s">
        <v>18</v>
      </c>
      <c r="J198" t="s">
        <v>60</v>
      </c>
      <c r="K198" t="s">
        <v>45</v>
      </c>
      <c r="L198" t="s">
        <v>21</v>
      </c>
      <c r="M198" s="2">
        <v>0.25</v>
      </c>
      <c r="N198" t="s">
        <v>22</v>
      </c>
      <c r="O198" t="str">
        <f t="shared" si="7"/>
        <v>December</v>
      </c>
      <c r="P198" t="str">
        <f t="shared" si="6"/>
        <v>Middle-Aged</v>
      </c>
    </row>
    <row r="199" spans="1:16" x14ac:dyDescent="0.25">
      <c r="A199">
        <v>1198</v>
      </c>
      <c r="B199" s="1">
        <v>45314</v>
      </c>
      <c r="C199" t="s">
        <v>30</v>
      </c>
      <c r="D199" t="s">
        <v>31</v>
      </c>
      <c r="E199" s="3">
        <v>776</v>
      </c>
      <c r="F199" s="3">
        <v>1</v>
      </c>
      <c r="G199" s="3">
        <v>776</v>
      </c>
      <c r="H199" s="3">
        <v>18</v>
      </c>
      <c r="I199" t="s">
        <v>32</v>
      </c>
      <c r="J199" t="s">
        <v>48</v>
      </c>
      <c r="K199" t="s">
        <v>20</v>
      </c>
      <c r="L199" t="s">
        <v>21</v>
      </c>
      <c r="M199" s="2">
        <v>0.1</v>
      </c>
      <c r="N199" t="s">
        <v>22</v>
      </c>
      <c r="O199" t="str">
        <f t="shared" si="7"/>
        <v>January</v>
      </c>
      <c r="P199" t="str">
        <f t="shared" si="6"/>
        <v>Young Adult</v>
      </c>
    </row>
    <row r="200" spans="1:16" x14ac:dyDescent="0.25">
      <c r="A200">
        <v>1199</v>
      </c>
      <c r="B200" s="1">
        <v>45237</v>
      </c>
      <c r="C200" t="s">
        <v>52</v>
      </c>
      <c r="D200" t="s">
        <v>82</v>
      </c>
      <c r="E200" s="3">
        <v>947</v>
      </c>
      <c r="F200" s="3">
        <v>2</v>
      </c>
      <c r="G200" s="3">
        <v>1894</v>
      </c>
      <c r="H200" s="3">
        <v>40</v>
      </c>
      <c r="I200" t="s">
        <v>32</v>
      </c>
      <c r="J200" t="s">
        <v>43</v>
      </c>
      <c r="K200" t="s">
        <v>33</v>
      </c>
      <c r="L200" t="s">
        <v>28</v>
      </c>
      <c r="M200" s="2">
        <v>0.2</v>
      </c>
      <c r="N200" t="s">
        <v>29</v>
      </c>
      <c r="O200" t="str">
        <f t="shared" si="7"/>
        <v>November</v>
      </c>
      <c r="P200" t="str">
        <f t="shared" si="6"/>
        <v>Adult</v>
      </c>
    </row>
    <row r="201" spans="1:16" x14ac:dyDescent="0.25">
      <c r="A201">
        <v>1200</v>
      </c>
      <c r="B201" s="1">
        <v>45242</v>
      </c>
      <c r="C201" t="s">
        <v>16</v>
      </c>
      <c r="D201" t="s">
        <v>56</v>
      </c>
      <c r="E201" s="3">
        <v>464</v>
      </c>
      <c r="F201" s="3">
        <v>1</v>
      </c>
      <c r="G201" s="3">
        <v>464</v>
      </c>
      <c r="H201" s="3">
        <v>60</v>
      </c>
      <c r="I201" t="s">
        <v>18</v>
      </c>
      <c r="J201" t="s">
        <v>63</v>
      </c>
      <c r="K201" t="s">
        <v>42</v>
      </c>
      <c r="L201" t="s">
        <v>34</v>
      </c>
      <c r="M201" s="2">
        <v>0.25</v>
      </c>
      <c r="N201" t="s">
        <v>29</v>
      </c>
      <c r="O201" t="str">
        <f t="shared" si="7"/>
        <v>November</v>
      </c>
      <c r="P201" t="str">
        <f t="shared" si="6"/>
        <v>Middle-Aged</v>
      </c>
    </row>
    <row r="202" spans="1:16" x14ac:dyDescent="0.25">
      <c r="A202">
        <v>1201</v>
      </c>
      <c r="B202" s="1">
        <v>45019</v>
      </c>
      <c r="C202" t="s">
        <v>39</v>
      </c>
      <c r="D202" t="s">
        <v>40</v>
      </c>
      <c r="E202" s="3">
        <v>547</v>
      </c>
      <c r="F202" s="3">
        <v>1</v>
      </c>
      <c r="G202" s="3">
        <v>547</v>
      </c>
      <c r="H202" s="3">
        <v>25</v>
      </c>
      <c r="I202" t="s">
        <v>32</v>
      </c>
      <c r="J202" t="s">
        <v>43</v>
      </c>
      <c r="K202" t="s">
        <v>20</v>
      </c>
      <c r="L202" t="s">
        <v>38</v>
      </c>
      <c r="M202" s="2">
        <v>0.2</v>
      </c>
      <c r="N202" t="s">
        <v>29</v>
      </c>
      <c r="O202" t="str">
        <f t="shared" si="7"/>
        <v>April</v>
      </c>
      <c r="P202" t="str">
        <f t="shared" si="6"/>
        <v>Young Adult</v>
      </c>
    </row>
    <row r="203" spans="1:16" x14ac:dyDescent="0.25">
      <c r="A203">
        <v>1202</v>
      </c>
      <c r="B203" s="1">
        <v>44943</v>
      </c>
      <c r="C203" t="s">
        <v>30</v>
      </c>
      <c r="D203" t="s">
        <v>77</v>
      </c>
      <c r="E203" s="3">
        <v>871</v>
      </c>
      <c r="F203" s="3">
        <v>1</v>
      </c>
      <c r="G203" s="3">
        <v>871</v>
      </c>
      <c r="H203" s="3">
        <v>51</v>
      </c>
      <c r="I203" t="s">
        <v>18</v>
      </c>
      <c r="J203" t="s">
        <v>19</v>
      </c>
      <c r="K203" t="s">
        <v>45</v>
      </c>
      <c r="L203" t="s">
        <v>21</v>
      </c>
      <c r="M203" s="2">
        <v>0.05</v>
      </c>
      <c r="N203" t="s">
        <v>29</v>
      </c>
      <c r="O203" t="str">
        <f t="shared" si="7"/>
        <v>January</v>
      </c>
      <c r="P203" t="str">
        <f t="shared" si="6"/>
        <v>Middle-Aged</v>
      </c>
    </row>
    <row r="204" spans="1:16" x14ac:dyDescent="0.25">
      <c r="A204">
        <v>1203</v>
      </c>
      <c r="B204" s="1">
        <v>44937</v>
      </c>
      <c r="C204" t="s">
        <v>52</v>
      </c>
      <c r="D204" t="s">
        <v>73</v>
      </c>
      <c r="E204" s="3">
        <v>960</v>
      </c>
      <c r="F204" s="3">
        <v>2</v>
      </c>
      <c r="G204" s="3">
        <v>1920</v>
      </c>
      <c r="H204" s="3">
        <v>34</v>
      </c>
      <c r="I204" t="s">
        <v>18</v>
      </c>
      <c r="J204" t="s">
        <v>60</v>
      </c>
      <c r="K204" t="s">
        <v>37</v>
      </c>
      <c r="L204" t="s">
        <v>21</v>
      </c>
      <c r="M204" s="2">
        <v>0.15</v>
      </c>
      <c r="N204" t="s">
        <v>29</v>
      </c>
      <c r="O204" t="str">
        <f t="shared" si="7"/>
        <v>January</v>
      </c>
      <c r="P204" t="str">
        <f t="shared" si="6"/>
        <v>Adult</v>
      </c>
    </row>
    <row r="205" spans="1:16" x14ac:dyDescent="0.25">
      <c r="A205">
        <v>1204</v>
      </c>
      <c r="B205" s="1">
        <v>44984</v>
      </c>
      <c r="C205" t="s">
        <v>39</v>
      </c>
      <c r="D205" t="s">
        <v>61</v>
      </c>
      <c r="E205" s="3">
        <v>360</v>
      </c>
      <c r="F205" s="3">
        <v>2</v>
      </c>
      <c r="G205" s="3">
        <v>720</v>
      </c>
      <c r="H205" s="3">
        <v>23</v>
      </c>
      <c r="I205" t="s">
        <v>18</v>
      </c>
      <c r="J205" t="s">
        <v>58</v>
      </c>
      <c r="K205" t="s">
        <v>37</v>
      </c>
      <c r="L205" t="s">
        <v>34</v>
      </c>
      <c r="M205" s="2">
        <v>0.15</v>
      </c>
      <c r="N205" t="s">
        <v>29</v>
      </c>
      <c r="O205" t="str">
        <f t="shared" si="7"/>
        <v>February</v>
      </c>
      <c r="P205" t="str">
        <f t="shared" si="6"/>
        <v>Young Adult</v>
      </c>
    </row>
    <row r="206" spans="1:16" x14ac:dyDescent="0.25">
      <c r="A206">
        <v>1205</v>
      </c>
      <c r="B206" s="1">
        <v>45051</v>
      </c>
      <c r="C206" t="s">
        <v>35</v>
      </c>
      <c r="D206" t="s">
        <v>70</v>
      </c>
      <c r="E206" s="3">
        <v>543</v>
      </c>
      <c r="F206" s="3">
        <v>1</v>
      </c>
      <c r="G206" s="3">
        <v>543</v>
      </c>
      <c r="H206" s="3">
        <v>33</v>
      </c>
      <c r="I206" t="s">
        <v>32</v>
      </c>
      <c r="J206" t="s">
        <v>26</v>
      </c>
      <c r="K206" t="s">
        <v>27</v>
      </c>
      <c r="L206" t="s">
        <v>34</v>
      </c>
      <c r="M206" s="2">
        <v>0.25</v>
      </c>
      <c r="N206" t="s">
        <v>29</v>
      </c>
      <c r="O206" t="str">
        <f t="shared" si="7"/>
        <v>May</v>
      </c>
      <c r="P206" t="str">
        <f t="shared" si="6"/>
        <v>Adult</v>
      </c>
    </row>
    <row r="207" spans="1:16" x14ac:dyDescent="0.25">
      <c r="A207">
        <v>1206</v>
      </c>
      <c r="B207" s="1">
        <v>45065</v>
      </c>
      <c r="C207" t="s">
        <v>49</v>
      </c>
      <c r="D207" t="s">
        <v>50</v>
      </c>
      <c r="E207" s="3">
        <v>1443</v>
      </c>
      <c r="F207" s="3">
        <v>2</v>
      </c>
      <c r="G207" s="3">
        <v>2886</v>
      </c>
      <c r="H207" s="3">
        <v>59</v>
      </c>
      <c r="I207" t="s">
        <v>32</v>
      </c>
      <c r="J207" t="s">
        <v>55</v>
      </c>
      <c r="K207" t="s">
        <v>27</v>
      </c>
      <c r="L207" t="s">
        <v>38</v>
      </c>
      <c r="M207" s="2">
        <v>0.05</v>
      </c>
      <c r="N207" t="s">
        <v>22</v>
      </c>
      <c r="O207" t="str">
        <f t="shared" si="7"/>
        <v>May</v>
      </c>
      <c r="P207" t="str">
        <f t="shared" si="6"/>
        <v>Middle-Aged</v>
      </c>
    </row>
    <row r="208" spans="1:16" x14ac:dyDescent="0.25">
      <c r="A208">
        <v>1207</v>
      </c>
      <c r="B208" s="1">
        <v>45247</v>
      </c>
      <c r="C208" t="s">
        <v>16</v>
      </c>
      <c r="D208" t="s">
        <v>56</v>
      </c>
      <c r="E208" s="3">
        <v>926</v>
      </c>
      <c r="F208" s="3">
        <v>4</v>
      </c>
      <c r="G208" s="3">
        <v>3704</v>
      </c>
      <c r="H208" s="3">
        <v>49</v>
      </c>
      <c r="I208" t="s">
        <v>32</v>
      </c>
      <c r="J208" t="s">
        <v>63</v>
      </c>
      <c r="K208" t="s">
        <v>27</v>
      </c>
      <c r="L208" t="s">
        <v>28</v>
      </c>
      <c r="M208" s="2">
        <v>0.3</v>
      </c>
      <c r="N208" t="s">
        <v>29</v>
      </c>
      <c r="O208" t="str">
        <f t="shared" si="7"/>
        <v>November</v>
      </c>
      <c r="P208" t="str">
        <f t="shared" si="6"/>
        <v>Adult</v>
      </c>
    </row>
    <row r="209" spans="1:16" x14ac:dyDescent="0.25">
      <c r="A209">
        <v>1208</v>
      </c>
      <c r="B209" s="1">
        <v>45263</v>
      </c>
      <c r="C209" t="s">
        <v>30</v>
      </c>
      <c r="D209" t="s">
        <v>44</v>
      </c>
      <c r="E209" s="3">
        <v>653</v>
      </c>
      <c r="F209" s="3">
        <v>2</v>
      </c>
      <c r="G209" s="3">
        <v>1306</v>
      </c>
      <c r="H209" s="3">
        <v>20</v>
      </c>
      <c r="I209" t="s">
        <v>18</v>
      </c>
      <c r="J209" t="s">
        <v>48</v>
      </c>
      <c r="K209" t="s">
        <v>20</v>
      </c>
      <c r="L209" t="s">
        <v>21</v>
      </c>
      <c r="M209" s="2">
        <v>0.1</v>
      </c>
      <c r="N209" t="s">
        <v>22</v>
      </c>
      <c r="O209" t="str">
        <f t="shared" si="7"/>
        <v>December</v>
      </c>
      <c r="P209" t="str">
        <f t="shared" si="6"/>
        <v>Young Adult</v>
      </c>
    </row>
    <row r="210" spans="1:16" x14ac:dyDescent="0.25">
      <c r="A210">
        <v>1209</v>
      </c>
      <c r="B210" s="1">
        <v>44964</v>
      </c>
      <c r="C210" t="s">
        <v>52</v>
      </c>
      <c r="D210" t="s">
        <v>67</v>
      </c>
      <c r="E210" s="3">
        <v>1367</v>
      </c>
      <c r="F210" s="3">
        <v>4</v>
      </c>
      <c r="G210" s="3">
        <v>5468</v>
      </c>
      <c r="H210" s="3">
        <v>30</v>
      </c>
      <c r="I210" t="s">
        <v>32</v>
      </c>
      <c r="J210" t="s">
        <v>58</v>
      </c>
      <c r="K210" t="s">
        <v>33</v>
      </c>
      <c r="L210" t="s">
        <v>34</v>
      </c>
      <c r="M210" s="2">
        <v>0.1</v>
      </c>
      <c r="N210" t="s">
        <v>29</v>
      </c>
      <c r="O210" t="str">
        <f t="shared" si="7"/>
        <v>February</v>
      </c>
      <c r="P210" t="str">
        <f t="shared" si="6"/>
        <v>Adult</v>
      </c>
    </row>
    <row r="211" spans="1:16" x14ac:dyDescent="0.25">
      <c r="A211">
        <v>1210</v>
      </c>
      <c r="B211" s="1">
        <v>45269</v>
      </c>
      <c r="C211" t="s">
        <v>30</v>
      </c>
      <c r="D211" t="s">
        <v>44</v>
      </c>
      <c r="E211" s="3">
        <v>1107</v>
      </c>
      <c r="F211" s="3">
        <v>1</v>
      </c>
      <c r="G211" s="3">
        <v>1107</v>
      </c>
      <c r="H211" s="3">
        <v>53</v>
      </c>
      <c r="I211" t="s">
        <v>32</v>
      </c>
      <c r="J211" t="s">
        <v>55</v>
      </c>
      <c r="K211" t="s">
        <v>42</v>
      </c>
      <c r="L211" t="s">
        <v>28</v>
      </c>
      <c r="M211" s="2">
        <v>0.15</v>
      </c>
      <c r="N211" t="s">
        <v>22</v>
      </c>
      <c r="O211" t="str">
        <f t="shared" si="7"/>
        <v>December</v>
      </c>
      <c r="P211" t="str">
        <f t="shared" si="6"/>
        <v>Middle-Aged</v>
      </c>
    </row>
    <row r="212" spans="1:16" x14ac:dyDescent="0.25">
      <c r="A212">
        <v>1211</v>
      </c>
      <c r="B212" s="1">
        <v>44974</v>
      </c>
      <c r="C212" t="s">
        <v>24</v>
      </c>
      <c r="D212" t="s">
        <v>84</v>
      </c>
      <c r="E212" s="3">
        <v>426</v>
      </c>
      <c r="F212" s="3">
        <v>4</v>
      </c>
      <c r="G212" s="3">
        <v>1704</v>
      </c>
      <c r="H212" s="3">
        <v>24</v>
      </c>
      <c r="I212" t="s">
        <v>18</v>
      </c>
      <c r="J212" t="s">
        <v>41</v>
      </c>
      <c r="K212" t="s">
        <v>42</v>
      </c>
      <c r="L212" t="s">
        <v>21</v>
      </c>
      <c r="M212" s="2">
        <v>0.3</v>
      </c>
      <c r="N212" t="s">
        <v>22</v>
      </c>
      <c r="O212" t="str">
        <f t="shared" si="7"/>
        <v>February</v>
      </c>
      <c r="P212" t="str">
        <f t="shared" si="6"/>
        <v>Young Adult</v>
      </c>
    </row>
    <row r="213" spans="1:16" x14ac:dyDescent="0.25">
      <c r="A213">
        <v>1212</v>
      </c>
      <c r="B213" s="1">
        <v>45276</v>
      </c>
      <c r="C213" t="s">
        <v>16</v>
      </c>
      <c r="D213" t="s">
        <v>71</v>
      </c>
      <c r="E213" s="3">
        <v>454</v>
      </c>
      <c r="F213" s="3">
        <v>5</v>
      </c>
      <c r="G213" s="3">
        <v>2270</v>
      </c>
      <c r="H213" s="3">
        <v>54</v>
      </c>
      <c r="I213" t="s">
        <v>18</v>
      </c>
      <c r="J213" t="s">
        <v>58</v>
      </c>
      <c r="K213" t="s">
        <v>20</v>
      </c>
      <c r="L213" t="s">
        <v>21</v>
      </c>
      <c r="M213" s="2">
        <v>0.1</v>
      </c>
      <c r="N213" t="s">
        <v>22</v>
      </c>
      <c r="O213" t="str">
        <f t="shared" si="7"/>
        <v>December</v>
      </c>
      <c r="P213" t="str">
        <f t="shared" si="6"/>
        <v>Middle-Aged</v>
      </c>
    </row>
    <row r="214" spans="1:16" x14ac:dyDescent="0.25">
      <c r="A214">
        <v>1213</v>
      </c>
      <c r="B214" s="1">
        <v>45116</v>
      </c>
      <c r="C214" t="s">
        <v>35</v>
      </c>
      <c r="D214" t="s">
        <v>70</v>
      </c>
      <c r="E214" s="3">
        <v>165</v>
      </c>
      <c r="F214" s="3">
        <v>2</v>
      </c>
      <c r="G214" s="3">
        <v>330</v>
      </c>
      <c r="H214" s="3">
        <v>33</v>
      </c>
      <c r="I214" t="s">
        <v>32</v>
      </c>
      <c r="J214" t="s">
        <v>55</v>
      </c>
      <c r="K214" t="s">
        <v>20</v>
      </c>
      <c r="L214" t="s">
        <v>38</v>
      </c>
      <c r="M214" s="2">
        <v>0.1</v>
      </c>
      <c r="N214" t="s">
        <v>29</v>
      </c>
      <c r="O214" t="str">
        <f t="shared" si="7"/>
        <v>July</v>
      </c>
      <c r="P214" t="str">
        <f t="shared" si="6"/>
        <v>Adult</v>
      </c>
    </row>
    <row r="215" spans="1:16" x14ac:dyDescent="0.25">
      <c r="A215">
        <v>1214</v>
      </c>
      <c r="B215" s="1">
        <v>45003</v>
      </c>
      <c r="C215" t="s">
        <v>30</v>
      </c>
      <c r="D215" t="s">
        <v>69</v>
      </c>
      <c r="E215" s="3">
        <v>985</v>
      </c>
      <c r="F215" s="3">
        <v>3</v>
      </c>
      <c r="G215" s="3">
        <v>2955</v>
      </c>
      <c r="H215" s="3">
        <v>21</v>
      </c>
      <c r="I215" t="s">
        <v>32</v>
      </c>
      <c r="J215" t="s">
        <v>26</v>
      </c>
      <c r="K215" t="s">
        <v>37</v>
      </c>
      <c r="L215" t="s">
        <v>21</v>
      </c>
      <c r="M215" s="2">
        <v>0.05</v>
      </c>
      <c r="N215" t="s">
        <v>22</v>
      </c>
      <c r="O215" t="str">
        <f t="shared" si="7"/>
        <v>March</v>
      </c>
      <c r="P215" t="str">
        <f t="shared" si="6"/>
        <v>Young Adult</v>
      </c>
    </row>
    <row r="216" spans="1:16" x14ac:dyDescent="0.25">
      <c r="A216">
        <v>1215</v>
      </c>
      <c r="B216" s="1">
        <v>44941</v>
      </c>
      <c r="C216" t="s">
        <v>30</v>
      </c>
      <c r="D216" t="s">
        <v>44</v>
      </c>
      <c r="E216" s="3">
        <v>487</v>
      </c>
      <c r="F216" s="3">
        <v>5</v>
      </c>
      <c r="G216" s="3">
        <v>2435</v>
      </c>
      <c r="H216" s="3">
        <v>33</v>
      </c>
      <c r="I216" t="s">
        <v>32</v>
      </c>
      <c r="J216" t="s">
        <v>51</v>
      </c>
      <c r="K216" t="s">
        <v>42</v>
      </c>
      <c r="L216" t="s">
        <v>38</v>
      </c>
      <c r="M216" s="2">
        <v>0.2</v>
      </c>
      <c r="N216" t="s">
        <v>29</v>
      </c>
      <c r="O216" t="str">
        <f t="shared" si="7"/>
        <v>January</v>
      </c>
      <c r="P216" t="str">
        <f t="shared" si="6"/>
        <v>Adult</v>
      </c>
    </row>
    <row r="217" spans="1:16" x14ac:dyDescent="0.25">
      <c r="A217">
        <v>1216</v>
      </c>
      <c r="B217" s="1">
        <v>45299</v>
      </c>
      <c r="C217" t="s">
        <v>24</v>
      </c>
      <c r="D217" t="s">
        <v>25</v>
      </c>
      <c r="E217" s="3">
        <v>283</v>
      </c>
      <c r="F217" s="3">
        <v>4</v>
      </c>
      <c r="G217" s="3">
        <v>1132</v>
      </c>
      <c r="H217" s="3">
        <v>32</v>
      </c>
      <c r="I217" t="s">
        <v>32</v>
      </c>
      <c r="J217" t="s">
        <v>63</v>
      </c>
      <c r="K217" t="s">
        <v>33</v>
      </c>
      <c r="L217" t="s">
        <v>47</v>
      </c>
      <c r="M217" s="2">
        <v>0.15</v>
      </c>
      <c r="N217" t="s">
        <v>29</v>
      </c>
      <c r="O217" t="str">
        <f t="shared" si="7"/>
        <v>January</v>
      </c>
      <c r="P217" t="str">
        <f t="shared" si="6"/>
        <v>Adult</v>
      </c>
    </row>
    <row r="218" spans="1:16" x14ac:dyDescent="0.25">
      <c r="A218">
        <v>1217</v>
      </c>
      <c r="B218" s="1">
        <v>45148</v>
      </c>
      <c r="C218" t="s">
        <v>49</v>
      </c>
      <c r="D218" t="s">
        <v>57</v>
      </c>
      <c r="E218" s="3">
        <v>752</v>
      </c>
      <c r="F218" s="3">
        <v>5</v>
      </c>
      <c r="G218" s="3">
        <v>3760</v>
      </c>
      <c r="H218" s="3">
        <v>35</v>
      </c>
      <c r="I218" t="s">
        <v>32</v>
      </c>
      <c r="J218" t="s">
        <v>58</v>
      </c>
      <c r="K218" t="s">
        <v>37</v>
      </c>
      <c r="L218" t="s">
        <v>21</v>
      </c>
      <c r="M218" s="2">
        <v>0.1</v>
      </c>
      <c r="N218" t="s">
        <v>22</v>
      </c>
      <c r="O218" t="str">
        <f t="shared" si="7"/>
        <v>August</v>
      </c>
      <c r="P218" t="str">
        <f t="shared" si="6"/>
        <v>Adult</v>
      </c>
    </row>
    <row r="219" spans="1:16" x14ac:dyDescent="0.25">
      <c r="A219">
        <v>1218</v>
      </c>
      <c r="B219" s="1">
        <v>44999</v>
      </c>
      <c r="C219" t="s">
        <v>39</v>
      </c>
      <c r="D219" t="s">
        <v>61</v>
      </c>
      <c r="E219" s="3">
        <v>761</v>
      </c>
      <c r="F219" s="3">
        <v>3</v>
      </c>
      <c r="G219" s="3">
        <v>2283</v>
      </c>
      <c r="H219" s="3">
        <v>41</v>
      </c>
      <c r="I219" t="s">
        <v>32</v>
      </c>
      <c r="J219" t="s">
        <v>48</v>
      </c>
      <c r="K219" t="s">
        <v>27</v>
      </c>
      <c r="L219" t="s">
        <v>34</v>
      </c>
      <c r="M219" s="2">
        <v>0.2</v>
      </c>
      <c r="N219" t="s">
        <v>22</v>
      </c>
      <c r="O219" t="str">
        <f t="shared" si="7"/>
        <v>March</v>
      </c>
      <c r="P219" t="str">
        <f t="shared" si="6"/>
        <v>Adult</v>
      </c>
    </row>
    <row r="220" spans="1:16" x14ac:dyDescent="0.25">
      <c r="A220">
        <v>1219</v>
      </c>
      <c r="B220" s="1">
        <v>45239</v>
      </c>
      <c r="C220" t="s">
        <v>52</v>
      </c>
      <c r="D220" t="s">
        <v>67</v>
      </c>
      <c r="E220" s="3">
        <v>1306</v>
      </c>
      <c r="F220" s="3">
        <v>4</v>
      </c>
      <c r="G220" s="3">
        <v>5224</v>
      </c>
      <c r="H220" s="3">
        <v>44</v>
      </c>
      <c r="I220" t="s">
        <v>32</v>
      </c>
      <c r="J220" t="s">
        <v>43</v>
      </c>
      <c r="K220" t="s">
        <v>42</v>
      </c>
      <c r="L220" t="s">
        <v>34</v>
      </c>
      <c r="M220" s="2">
        <v>0.2</v>
      </c>
      <c r="N220" t="s">
        <v>22</v>
      </c>
      <c r="O220" t="str">
        <f t="shared" si="7"/>
        <v>November</v>
      </c>
      <c r="P220" t="str">
        <f t="shared" si="6"/>
        <v>Adult</v>
      </c>
    </row>
    <row r="221" spans="1:16" x14ac:dyDescent="0.25">
      <c r="A221">
        <v>1220</v>
      </c>
      <c r="B221" s="1">
        <v>45041</v>
      </c>
      <c r="C221" t="s">
        <v>52</v>
      </c>
      <c r="D221" t="s">
        <v>67</v>
      </c>
      <c r="E221" s="3">
        <v>991</v>
      </c>
      <c r="F221" s="3">
        <v>3</v>
      </c>
      <c r="G221" s="3">
        <v>2973</v>
      </c>
      <c r="H221" s="3">
        <v>41</v>
      </c>
      <c r="I221" t="s">
        <v>32</v>
      </c>
      <c r="J221" t="s">
        <v>41</v>
      </c>
      <c r="K221" t="s">
        <v>45</v>
      </c>
      <c r="L221" t="s">
        <v>47</v>
      </c>
      <c r="M221" s="2">
        <v>0.2</v>
      </c>
      <c r="N221" t="s">
        <v>22</v>
      </c>
      <c r="O221" t="str">
        <f t="shared" si="7"/>
        <v>April</v>
      </c>
      <c r="P221" t="str">
        <f t="shared" si="6"/>
        <v>Adult</v>
      </c>
    </row>
    <row r="222" spans="1:16" x14ac:dyDescent="0.25">
      <c r="A222">
        <v>1221</v>
      </c>
      <c r="B222" s="1">
        <v>45119</v>
      </c>
      <c r="C222" t="s">
        <v>52</v>
      </c>
      <c r="D222" t="s">
        <v>73</v>
      </c>
      <c r="E222" s="3">
        <v>484</v>
      </c>
      <c r="F222" s="3">
        <v>1</v>
      </c>
      <c r="G222" s="3">
        <v>484</v>
      </c>
      <c r="H222" s="3">
        <v>43</v>
      </c>
      <c r="I222" t="s">
        <v>18</v>
      </c>
      <c r="J222" t="s">
        <v>58</v>
      </c>
      <c r="K222" t="s">
        <v>20</v>
      </c>
      <c r="L222" t="s">
        <v>34</v>
      </c>
      <c r="M222" s="2">
        <v>0.25</v>
      </c>
      <c r="N222" t="s">
        <v>22</v>
      </c>
      <c r="O222" t="str">
        <f t="shared" si="7"/>
        <v>July</v>
      </c>
      <c r="P222" t="str">
        <f t="shared" si="6"/>
        <v>Adult</v>
      </c>
    </row>
    <row r="223" spans="1:16" x14ac:dyDescent="0.25">
      <c r="A223">
        <v>1222</v>
      </c>
      <c r="B223" s="1">
        <v>45081</v>
      </c>
      <c r="C223" t="s">
        <v>35</v>
      </c>
      <c r="D223" t="s">
        <v>74</v>
      </c>
      <c r="E223" s="3">
        <v>1393</v>
      </c>
      <c r="F223" s="3">
        <v>2</v>
      </c>
      <c r="G223" s="3">
        <v>2786</v>
      </c>
      <c r="H223" s="3">
        <v>45</v>
      </c>
      <c r="I223" t="s">
        <v>32</v>
      </c>
      <c r="J223" t="s">
        <v>58</v>
      </c>
      <c r="K223" t="s">
        <v>33</v>
      </c>
      <c r="L223" t="s">
        <v>47</v>
      </c>
      <c r="M223" s="2">
        <v>0.15</v>
      </c>
      <c r="N223" t="s">
        <v>29</v>
      </c>
      <c r="O223" t="str">
        <f t="shared" si="7"/>
        <v>June</v>
      </c>
      <c r="P223" t="str">
        <f t="shared" si="6"/>
        <v>Adult</v>
      </c>
    </row>
    <row r="224" spans="1:16" x14ac:dyDescent="0.25">
      <c r="A224">
        <v>1223</v>
      </c>
      <c r="B224" s="1">
        <v>45090</v>
      </c>
      <c r="C224" t="s">
        <v>52</v>
      </c>
      <c r="D224" t="s">
        <v>67</v>
      </c>
      <c r="E224" s="3">
        <v>423</v>
      </c>
      <c r="F224" s="3">
        <v>2</v>
      </c>
      <c r="G224" s="3">
        <v>846</v>
      </c>
      <c r="H224" s="3">
        <v>42</v>
      </c>
      <c r="I224" t="s">
        <v>32</v>
      </c>
      <c r="J224" t="s">
        <v>43</v>
      </c>
      <c r="K224" t="s">
        <v>20</v>
      </c>
      <c r="L224" t="s">
        <v>47</v>
      </c>
      <c r="M224" s="2">
        <v>0.15</v>
      </c>
      <c r="N224" t="s">
        <v>22</v>
      </c>
      <c r="O224" t="str">
        <f t="shared" si="7"/>
        <v>June</v>
      </c>
      <c r="P224" t="str">
        <f t="shared" si="6"/>
        <v>Adult</v>
      </c>
    </row>
    <row r="225" spans="1:16" x14ac:dyDescent="0.25">
      <c r="A225">
        <v>1224</v>
      </c>
      <c r="B225" s="1">
        <v>45191</v>
      </c>
      <c r="C225" t="s">
        <v>30</v>
      </c>
      <c r="D225" t="s">
        <v>31</v>
      </c>
      <c r="E225" s="3">
        <v>1024</v>
      </c>
      <c r="F225" s="3">
        <v>4</v>
      </c>
      <c r="G225" s="3">
        <v>4096</v>
      </c>
      <c r="H225" s="3">
        <v>44</v>
      </c>
      <c r="I225" t="s">
        <v>32</v>
      </c>
      <c r="J225" t="s">
        <v>26</v>
      </c>
      <c r="K225" t="s">
        <v>20</v>
      </c>
      <c r="L225" t="s">
        <v>47</v>
      </c>
      <c r="M225" s="2">
        <v>0.15</v>
      </c>
      <c r="N225" t="s">
        <v>22</v>
      </c>
      <c r="O225" t="str">
        <f t="shared" si="7"/>
        <v>September</v>
      </c>
      <c r="P225" t="str">
        <f t="shared" si="6"/>
        <v>Adult</v>
      </c>
    </row>
    <row r="226" spans="1:16" x14ac:dyDescent="0.25">
      <c r="A226">
        <v>1225</v>
      </c>
      <c r="B226" s="1">
        <v>44953</v>
      </c>
      <c r="C226" t="s">
        <v>16</v>
      </c>
      <c r="D226" t="s">
        <v>62</v>
      </c>
      <c r="E226" s="3">
        <v>259</v>
      </c>
      <c r="F226" s="3">
        <v>4</v>
      </c>
      <c r="G226" s="3">
        <v>1036</v>
      </c>
      <c r="H226" s="3">
        <v>55</v>
      </c>
      <c r="I226" t="s">
        <v>32</v>
      </c>
      <c r="J226" t="s">
        <v>41</v>
      </c>
      <c r="K226" t="s">
        <v>37</v>
      </c>
      <c r="L226" t="s">
        <v>38</v>
      </c>
      <c r="M226" s="2">
        <v>0.05</v>
      </c>
      <c r="N226" t="s">
        <v>29</v>
      </c>
      <c r="O226" t="str">
        <f t="shared" si="7"/>
        <v>January</v>
      </c>
      <c r="P226" t="str">
        <f t="shared" si="6"/>
        <v>Middle-Aged</v>
      </c>
    </row>
    <row r="227" spans="1:16" x14ac:dyDescent="0.25">
      <c r="A227">
        <v>1226</v>
      </c>
      <c r="B227" s="1">
        <v>45056</v>
      </c>
      <c r="C227" t="s">
        <v>35</v>
      </c>
      <c r="D227" t="s">
        <v>75</v>
      </c>
      <c r="E227" s="3">
        <v>1491</v>
      </c>
      <c r="F227" s="3">
        <v>1</v>
      </c>
      <c r="G227" s="3">
        <v>1491</v>
      </c>
      <c r="H227" s="3">
        <v>56</v>
      </c>
      <c r="I227" t="s">
        <v>32</v>
      </c>
      <c r="J227" t="s">
        <v>19</v>
      </c>
      <c r="K227" t="s">
        <v>45</v>
      </c>
      <c r="L227" t="s">
        <v>38</v>
      </c>
      <c r="M227" s="2">
        <v>0.15</v>
      </c>
      <c r="N227" t="s">
        <v>22</v>
      </c>
      <c r="O227" t="str">
        <f t="shared" si="7"/>
        <v>May</v>
      </c>
      <c r="P227" t="str">
        <f t="shared" si="6"/>
        <v>Middle-Aged</v>
      </c>
    </row>
    <row r="228" spans="1:16" x14ac:dyDescent="0.25">
      <c r="A228">
        <v>1227</v>
      </c>
      <c r="B228" s="1">
        <v>45170</v>
      </c>
      <c r="C228" t="s">
        <v>39</v>
      </c>
      <c r="D228" t="s">
        <v>46</v>
      </c>
      <c r="E228" s="3">
        <v>1414</v>
      </c>
      <c r="F228" s="3">
        <v>1</v>
      </c>
      <c r="G228" s="3">
        <v>1414</v>
      </c>
      <c r="H228" s="3">
        <v>46</v>
      </c>
      <c r="I228" t="s">
        <v>18</v>
      </c>
      <c r="J228" t="s">
        <v>51</v>
      </c>
      <c r="K228" t="s">
        <v>33</v>
      </c>
      <c r="L228" t="s">
        <v>47</v>
      </c>
      <c r="M228" s="2">
        <v>0.1</v>
      </c>
      <c r="N228" t="s">
        <v>22</v>
      </c>
      <c r="O228" t="str">
        <f t="shared" si="7"/>
        <v>September</v>
      </c>
      <c r="P228" t="str">
        <f t="shared" si="6"/>
        <v>Adult</v>
      </c>
    </row>
    <row r="229" spans="1:16" x14ac:dyDescent="0.25">
      <c r="A229">
        <v>1228</v>
      </c>
      <c r="B229" s="1">
        <v>44987</v>
      </c>
      <c r="C229" t="s">
        <v>30</v>
      </c>
      <c r="D229" t="s">
        <v>79</v>
      </c>
      <c r="E229" s="3">
        <v>965</v>
      </c>
      <c r="F229" s="3">
        <v>5</v>
      </c>
      <c r="G229" s="3">
        <v>4825</v>
      </c>
      <c r="H229" s="3">
        <v>34</v>
      </c>
      <c r="I229" t="s">
        <v>32</v>
      </c>
      <c r="J229" t="s">
        <v>58</v>
      </c>
      <c r="K229" t="s">
        <v>33</v>
      </c>
      <c r="L229" t="s">
        <v>38</v>
      </c>
      <c r="M229" s="2">
        <v>0.25</v>
      </c>
      <c r="N229" t="s">
        <v>22</v>
      </c>
      <c r="O229" t="str">
        <f t="shared" si="7"/>
        <v>March</v>
      </c>
      <c r="P229" t="str">
        <f t="shared" si="6"/>
        <v>Adult</v>
      </c>
    </row>
    <row r="230" spans="1:16" x14ac:dyDescent="0.25">
      <c r="A230">
        <v>1229</v>
      </c>
      <c r="B230" s="1">
        <v>45295</v>
      </c>
      <c r="C230" t="s">
        <v>49</v>
      </c>
      <c r="D230" t="s">
        <v>50</v>
      </c>
      <c r="E230" s="3">
        <v>1356</v>
      </c>
      <c r="F230" s="3">
        <v>2</v>
      </c>
      <c r="G230" s="3">
        <v>2712</v>
      </c>
      <c r="H230" s="3">
        <v>33</v>
      </c>
      <c r="I230" t="s">
        <v>18</v>
      </c>
      <c r="J230" t="s">
        <v>19</v>
      </c>
      <c r="K230" t="s">
        <v>42</v>
      </c>
      <c r="L230" t="s">
        <v>34</v>
      </c>
      <c r="M230" s="2">
        <v>0.1</v>
      </c>
      <c r="N230" t="s">
        <v>22</v>
      </c>
      <c r="O230" t="str">
        <f t="shared" si="7"/>
        <v>January</v>
      </c>
      <c r="P230" t="str">
        <f t="shared" si="6"/>
        <v>Adult</v>
      </c>
    </row>
    <row r="231" spans="1:16" x14ac:dyDescent="0.25">
      <c r="A231">
        <v>1230</v>
      </c>
      <c r="B231" s="1">
        <v>45269</v>
      </c>
      <c r="C231" t="s">
        <v>24</v>
      </c>
      <c r="D231" t="s">
        <v>25</v>
      </c>
      <c r="E231" s="3">
        <v>806</v>
      </c>
      <c r="F231" s="3">
        <v>2</v>
      </c>
      <c r="G231" s="3">
        <v>1612</v>
      </c>
      <c r="H231" s="3">
        <v>48</v>
      </c>
      <c r="I231" t="s">
        <v>18</v>
      </c>
      <c r="J231" t="s">
        <v>41</v>
      </c>
      <c r="K231" t="s">
        <v>33</v>
      </c>
      <c r="L231" t="s">
        <v>38</v>
      </c>
      <c r="M231" s="2">
        <v>0.25</v>
      </c>
      <c r="N231" t="s">
        <v>22</v>
      </c>
      <c r="O231" t="str">
        <f t="shared" si="7"/>
        <v>December</v>
      </c>
      <c r="P231" t="str">
        <f t="shared" si="6"/>
        <v>Adult</v>
      </c>
    </row>
    <row r="232" spans="1:16" x14ac:dyDescent="0.25">
      <c r="A232">
        <v>1231</v>
      </c>
      <c r="B232" s="1">
        <v>45079</v>
      </c>
      <c r="C232" t="s">
        <v>49</v>
      </c>
      <c r="D232" t="s">
        <v>50</v>
      </c>
      <c r="E232" s="3">
        <v>527</v>
      </c>
      <c r="F232" s="3">
        <v>3</v>
      </c>
      <c r="G232" s="3">
        <v>1581</v>
      </c>
      <c r="H232" s="3">
        <v>57</v>
      </c>
      <c r="I232" t="s">
        <v>32</v>
      </c>
      <c r="J232" t="s">
        <v>60</v>
      </c>
      <c r="K232" t="s">
        <v>42</v>
      </c>
      <c r="L232" t="s">
        <v>34</v>
      </c>
      <c r="M232" s="2">
        <v>0.1</v>
      </c>
      <c r="N232" t="s">
        <v>29</v>
      </c>
      <c r="O232" t="str">
        <f t="shared" si="7"/>
        <v>June</v>
      </c>
      <c r="P232" t="str">
        <f t="shared" si="6"/>
        <v>Middle-Aged</v>
      </c>
    </row>
    <row r="233" spans="1:16" x14ac:dyDescent="0.25">
      <c r="A233">
        <v>1232</v>
      </c>
      <c r="B233" s="1">
        <v>45323</v>
      </c>
      <c r="C233" t="s">
        <v>35</v>
      </c>
      <c r="D233" t="s">
        <v>70</v>
      </c>
      <c r="E233" s="3">
        <v>865</v>
      </c>
      <c r="F233" s="3">
        <v>1</v>
      </c>
      <c r="G233" s="3">
        <v>865</v>
      </c>
      <c r="H233" s="3">
        <v>54</v>
      </c>
      <c r="I233" t="s">
        <v>32</v>
      </c>
      <c r="J233" t="s">
        <v>60</v>
      </c>
      <c r="K233" t="s">
        <v>33</v>
      </c>
      <c r="L233" t="s">
        <v>34</v>
      </c>
      <c r="M233" s="2">
        <v>0.1</v>
      </c>
      <c r="N233" t="s">
        <v>22</v>
      </c>
      <c r="O233" t="str">
        <f t="shared" si="7"/>
        <v>February</v>
      </c>
      <c r="P233" t="str">
        <f t="shared" si="6"/>
        <v>Middle-Aged</v>
      </c>
    </row>
    <row r="234" spans="1:16" x14ac:dyDescent="0.25">
      <c r="A234">
        <v>1233</v>
      </c>
      <c r="B234" s="1">
        <v>45181</v>
      </c>
      <c r="C234" t="s">
        <v>30</v>
      </c>
      <c r="D234" t="s">
        <v>44</v>
      </c>
      <c r="E234" s="3">
        <v>1051</v>
      </c>
      <c r="F234" s="3">
        <v>1</v>
      </c>
      <c r="G234" s="3">
        <v>1051</v>
      </c>
      <c r="H234" s="3">
        <v>28</v>
      </c>
      <c r="I234" t="s">
        <v>18</v>
      </c>
      <c r="J234" t="s">
        <v>48</v>
      </c>
      <c r="K234" t="s">
        <v>27</v>
      </c>
      <c r="L234" t="s">
        <v>28</v>
      </c>
      <c r="M234" s="2">
        <v>0.15</v>
      </c>
      <c r="N234" t="s">
        <v>22</v>
      </c>
      <c r="O234" t="str">
        <f t="shared" si="7"/>
        <v>September</v>
      </c>
      <c r="P234" t="str">
        <f t="shared" si="6"/>
        <v>Young Adult</v>
      </c>
    </row>
    <row r="235" spans="1:16" x14ac:dyDescent="0.25">
      <c r="A235">
        <v>1234</v>
      </c>
      <c r="B235" s="1">
        <v>44990</v>
      </c>
      <c r="C235" t="s">
        <v>52</v>
      </c>
      <c r="D235" t="s">
        <v>65</v>
      </c>
      <c r="E235" s="3">
        <v>1144</v>
      </c>
      <c r="F235" s="3">
        <v>3</v>
      </c>
      <c r="G235" s="3">
        <v>3432</v>
      </c>
      <c r="H235" s="3">
        <v>27</v>
      </c>
      <c r="I235" t="s">
        <v>18</v>
      </c>
      <c r="J235" t="s">
        <v>51</v>
      </c>
      <c r="K235" t="s">
        <v>27</v>
      </c>
      <c r="L235" t="s">
        <v>34</v>
      </c>
      <c r="M235" s="2">
        <v>0.2</v>
      </c>
      <c r="N235" t="s">
        <v>29</v>
      </c>
      <c r="O235" t="str">
        <f t="shared" si="7"/>
        <v>March</v>
      </c>
      <c r="P235" t="str">
        <f t="shared" si="6"/>
        <v>Young Adult</v>
      </c>
    </row>
    <row r="236" spans="1:16" x14ac:dyDescent="0.25">
      <c r="A236">
        <v>1235</v>
      </c>
      <c r="B236" s="1">
        <v>45144</v>
      </c>
      <c r="C236" t="s">
        <v>49</v>
      </c>
      <c r="D236" t="s">
        <v>64</v>
      </c>
      <c r="E236" s="3">
        <v>1160</v>
      </c>
      <c r="F236" s="3">
        <v>4</v>
      </c>
      <c r="G236" s="3">
        <v>4640</v>
      </c>
      <c r="H236" s="3">
        <v>44</v>
      </c>
      <c r="I236" t="s">
        <v>18</v>
      </c>
      <c r="J236" t="s">
        <v>55</v>
      </c>
      <c r="K236" t="s">
        <v>33</v>
      </c>
      <c r="L236" t="s">
        <v>28</v>
      </c>
      <c r="M236" s="2">
        <v>0.1</v>
      </c>
      <c r="N236" t="s">
        <v>22</v>
      </c>
      <c r="O236" t="str">
        <f t="shared" si="7"/>
        <v>August</v>
      </c>
      <c r="P236" t="str">
        <f t="shared" si="6"/>
        <v>Adult</v>
      </c>
    </row>
    <row r="237" spans="1:16" x14ac:dyDescent="0.25">
      <c r="A237">
        <v>1236</v>
      </c>
      <c r="B237" s="1">
        <v>45024</v>
      </c>
      <c r="C237" t="s">
        <v>35</v>
      </c>
      <c r="D237" t="s">
        <v>72</v>
      </c>
      <c r="E237" s="3">
        <v>483</v>
      </c>
      <c r="F237" s="3">
        <v>1</v>
      </c>
      <c r="G237" s="3">
        <v>483</v>
      </c>
      <c r="H237" s="3">
        <v>40</v>
      </c>
      <c r="I237" t="s">
        <v>18</v>
      </c>
      <c r="J237" t="s">
        <v>48</v>
      </c>
      <c r="K237" t="s">
        <v>27</v>
      </c>
      <c r="L237" t="s">
        <v>47</v>
      </c>
      <c r="M237" s="2">
        <v>0.1</v>
      </c>
      <c r="N237" t="s">
        <v>22</v>
      </c>
      <c r="O237" t="str">
        <f t="shared" si="7"/>
        <v>April</v>
      </c>
      <c r="P237" t="str">
        <f t="shared" si="6"/>
        <v>Adult</v>
      </c>
    </row>
    <row r="238" spans="1:16" x14ac:dyDescent="0.25">
      <c r="A238">
        <v>1237</v>
      </c>
      <c r="B238" s="1">
        <v>45196</v>
      </c>
      <c r="C238" t="s">
        <v>35</v>
      </c>
      <c r="D238" t="s">
        <v>70</v>
      </c>
      <c r="E238" s="3">
        <v>962</v>
      </c>
      <c r="F238" s="3">
        <v>3</v>
      </c>
      <c r="G238" s="3">
        <v>2886</v>
      </c>
      <c r="H238" s="3">
        <v>43</v>
      </c>
      <c r="I238" t="s">
        <v>18</v>
      </c>
      <c r="J238" t="s">
        <v>60</v>
      </c>
      <c r="K238" t="s">
        <v>42</v>
      </c>
      <c r="L238" t="s">
        <v>38</v>
      </c>
      <c r="M238" s="2">
        <v>0.1</v>
      </c>
      <c r="N238" t="s">
        <v>22</v>
      </c>
      <c r="O238" t="str">
        <f t="shared" si="7"/>
        <v>September</v>
      </c>
      <c r="P238" t="str">
        <f t="shared" si="6"/>
        <v>Adult</v>
      </c>
    </row>
    <row r="239" spans="1:16" x14ac:dyDescent="0.25">
      <c r="A239">
        <v>1238</v>
      </c>
      <c r="B239" s="1">
        <v>44985</v>
      </c>
      <c r="C239" t="s">
        <v>49</v>
      </c>
      <c r="D239" t="s">
        <v>64</v>
      </c>
      <c r="E239" s="3">
        <v>80</v>
      </c>
      <c r="F239" s="3">
        <v>1</v>
      </c>
      <c r="G239" s="3">
        <v>80</v>
      </c>
      <c r="H239" s="3">
        <v>28</v>
      </c>
      <c r="I239" t="s">
        <v>32</v>
      </c>
      <c r="J239" t="s">
        <v>26</v>
      </c>
      <c r="K239" t="s">
        <v>45</v>
      </c>
      <c r="L239" t="s">
        <v>38</v>
      </c>
      <c r="M239" s="2">
        <v>0.25</v>
      </c>
      <c r="N239" t="s">
        <v>22</v>
      </c>
      <c r="O239" t="str">
        <f t="shared" si="7"/>
        <v>February</v>
      </c>
      <c r="P239" t="str">
        <f t="shared" si="6"/>
        <v>Young Adult</v>
      </c>
    </row>
    <row r="240" spans="1:16" x14ac:dyDescent="0.25">
      <c r="A240">
        <v>1239</v>
      </c>
      <c r="B240" s="1">
        <v>45180</v>
      </c>
      <c r="C240" t="s">
        <v>30</v>
      </c>
      <c r="D240" t="s">
        <v>77</v>
      </c>
      <c r="E240" s="3">
        <v>837</v>
      </c>
      <c r="F240" s="3">
        <v>2</v>
      </c>
      <c r="G240" s="3">
        <v>1674</v>
      </c>
      <c r="H240" s="3">
        <v>59</v>
      </c>
      <c r="I240" t="s">
        <v>32</v>
      </c>
      <c r="J240" t="s">
        <v>48</v>
      </c>
      <c r="K240" t="s">
        <v>27</v>
      </c>
      <c r="L240" t="s">
        <v>47</v>
      </c>
      <c r="M240" s="2">
        <v>0.25</v>
      </c>
      <c r="N240" t="s">
        <v>22</v>
      </c>
      <c r="O240" t="str">
        <f t="shared" si="7"/>
        <v>September</v>
      </c>
      <c r="P240" t="str">
        <f t="shared" si="6"/>
        <v>Middle-Aged</v>
      </c>
    </row>
    <row r="241" spans="1:16" x14ac:dyDescent="0.25">
      <c r="A241">
        <v>1240</v>
      </c>
      <c r="B241" s="1">
        <v>45134</v>
      </c>
      <c r="C241" t="s">
        <v>52</v>
      </c>
      <c r="D241" t="s">
        <v>65</v>
      </c>
      <c r="E241" s="3">
        <v>209</v>
      </c>
      <c r="F241" s="3">
        <v>1</v>
      </c>
      <c r="G241" s="3">
        <v>209</v>
      </c>
      <c r="H241" s="3">
        <v>27</v>
      </c>
      <c r="I241" t="s">
        <v>18</v>
      </c>
      <c r="J241" t="s">
        <v>26</v>
      </c>
      <c r="K241" t="s">
        <v>37</v>
      </c>
      <c r="L241" t="s">
        <v>28</v>
      </c>
      <c r="M241" s="2">
        <v>0.3</v>
      </c>
      <c r="N241" t="s">
        <v>29</v>
      </c>
      <c r="O241" t="str">
        <f t="shared" si="7"/>
        <v>July</v>
      </c>
      <c r="P241" t="str">
        <f t="shared" si="6"/>
        <v>Young Adult</v>
      </c>
    </row>
    <row r="242" spans="1:16" x14ac:dyDescent="0.25">
      <c r="A242">
        <v>1241</v>
      </c>
      <c r="B242" s="1">
        <v>45057</v>
      </c>
      <c r="C242" t="s">
        <v>49</v>
      </c>
      <c r="D242" t="s">
        <v>64</v>
      </c>
      <c r="E242" s="3">
        <v>586</v>
      </c>
      <c r="F242" s="3">
        <v>3</v>
      </c>
      <c r="G242" s="3">
        <v>1758</v>
      </c>
      <c r="H242" s="3">
        <v>41</v>
      </c>
      <c r="I242" t="s">
        <v>18</v>
      </c>
      <c r="J242" t="s">
        <v>55</v>
      </c>
      <c r="K242" t="s">
        <v>42</v>
      </c>
      <c r="L242" t="s">
        <v>38</v>
      </c>
      <c r="M242" s="2">
        <v>0.25</v>
      </c>
      <c r="N242" t="s">
        <v>22</v>
      </c>
      <c r="O242" t="str">
        <f t="shared" si="7"/>
        <v>May</v>
      </c>
      <c r="P242" t="str">
        <f t="shared" si="6"/>
        <v>Adult</v>
      </c>
    </row>
    <row r="243" spans="1:16" x14ac:dyDescent="0.25">
      <c r="A243">
        <v>1242</v>
      </c>
      <c r="B243" s="1">
        <v>45316</v>
      </c>
      <c r="C243" t="s">
        <v>16</v>
      </c>
      <c r="D243" t="s">
        <v>59</v>
      </c>
      <c r="E243" s="3">
        <v>1080</v>
      </c>
      <c r="F243" s="3">
        <v>3</v>
      </c>
      <c r="G243" s="3">
        <v>3240</v>
      </c>
      <c r="H243" s="3">
        <v>51</v>
      </c>
      <c r="I243" t="s">
        <v>18</v>
      </c>
      <c r="J243" t="s">
        <v>51</v>
      </c>
      <c r="K243" t="s">
        <v>20</v>
      </c>
      <c r="L243" t="s">
        <v>47</v>
      </c>
      <c r="M243" s="2">
        <v>0.2</v>
      </c>
      <c r="N243" t="s">
        <v>22</v>
      </c>
      <c r="O243" t="str">
        <f t="shared" si="7"/>
        <v>January</v>
      </c>
      <c r="P243" t="str">
        <f t="shared" si="6"/>
        <v>Middle-Aged</v>
      </c>
    </row>
    <row r="244" spans="1:16" x14ac:dyDescent="0.25">
      <c r="A244">
        <v>1243</v>
      </c>
      <c r="B244" s="1">
        <v>45185</v>
      </c>
      <c r="C244" t="s">
        <v>16</v>
      </c>
      <c r="D244" t="s">
        <v>62</v>
      </c>
      <c r="E244" s="3">
        <v>1201</v>
      </c>
      <c r="F244" s="3">
        <v>3</v>
      </c>
      <c r="G244" s="3">
        <v>3603</v>
      </c>
      <c r="H244" s="3">
        <v>27</v>
      </c>
      <c r="I244" t="s">
        <v>18</v>
      </c>
      <c r="J244" t="s">
        <v>63</v>
      </c>
      <c r="K244" t="s">
        <v>33</v>
      </c>
      <c r="L244" t="s">
        <v>38</v>
      </c>
      <c r="M244" s="2">
        <v>0.2</v>
      </c>
      <c r="N244" t="s">
        <v>29</v>
      </c>
      <c r="O244" t="str">
        <f t="shared" si="7"/>
        <v>September</v>
      </c>
      <c r="P244" t="str">
        <f t="shared" si="6"/>
        <v>Young Adult</v>
      </c>
    </row>
    <row r="245" spans="1:16" x14ac:dyDescent="0.25">
      <c r="A245">
        <v>1244</v>
      </c>
      <c r="B245" s="1">
        <v>44991</v>
      </c>
      <c r="C245" t="s">
        <v>52</v>
      </c>
      <c r="D245" t="s">
        <v>67</v>
      </c>
      <c r="E245" s="3">
        <v>630</v>
      </c>
      <c r="F245" s="3">
        <v>1</v>
      </c>
      <c r="G245" s="3">
        <v>630</v>
      </c>
      <c r="H245" s="3">
        <v>42</v>
      </c>
      <c r="I245" t="s">
        <v>18</v>
      </c>
      <c r="J245" t="s">
        <v>26</v>
      </c>
      <c r="K245" t="s">
        <v>33</v>
      </c>
      <c r="L245" t="s">
        <v>28</v>
      </c>
      <c r="M245" s="2">
        <v>0.05</v>
      </c>
      <c r="N245" t="s">
        <v>29</v>
      </c>
      <c r="O245" t="str">
        <f t="shared" si="7"/>
        <v>March</v>
      </c>
      <c r="P245" t="str">
        <f t="shared" si="6"/>
        <v>Adult</v>
      </c>
    </row>
    <row r="246" spans="1:16" x14ac:dyDescent="0.25">
      <c r="A246">
        <v>1245</v>
      </c>
      <c r="B246" s="1">
        <v>45092</v>
      </c>
      <c r="C246" t="s">
        <v>16</v>
      </c>
      <c r="D246" t="s">
        <v>56</v>
      </c>
      <c r="E246" s="3">
        <v>1245</v>
      </c>
      <c r="F246" s="3">
        <v>4</v>
      </c>
      <c r="G246" s="3">
        <v>4980</v>
      </c>
      <c r="H246" s="3">
        <v>49</v>
      </c>
      <c r="I246" t="s">
        <v>18</v>
      </c>
      <c r="J246" t="s">
        <v>43</v>
      </c>
      <c r="K246" t="s">
        <v>33</v>
      </c>
      <c r="L246" t="s">
        <v>34</v>
      </c>
      <c r="M246" s="2">
        <v>0.1</v>
      </c>
      <c r="N246" t="s">
        <v>29</v>
      </c>
      <c r="O246" t="str">
        <f t="shared" si="7"/>
        <v>June</v>
      </c>
      <c r="P246" t="str">
        <f t="shared" si="6"/>
        <v>Adult</v>
      </c>
    </row>
    <row r="247" spans="1:16" x14ac:dyDescent="0.25">
      <c r="A247">
        <v>1246</v>
      </c>
      <c r="B247" s="1">
        <v>45189</v>
      </c>
      <c r="C247" t="s">
        <v>16</v>
      </c>
      <c r="D247" t="s">
        <v>83</v>
      </c>
      <c r="E247" s="3">
        <v>330</v>
      </c>
      <c r="F247" s="3">
        <v>3</v>
      </c>
      <c r="G247" s="3">
        <v>990</v>
      </c>
      <c r="H247" s="3">
        <v>51</v>
      </c>
      <c r="I247" t="s">
        <v>18</v>
      </c>
      <c r="J247" t="s">
        <v>26</v>
      </c>
      <c r="K247" t="s">
        <v>37</v>
      </c>
      <c r="L247" t="s">
        <v>21</v>
      </c>
      <c r="M247" s="2">
        <v>0.1</v>
      </c>
      <c r="N247" t="s">
        <v>29</v>
      </c>
      <c r="O247" t="str">
        <f t="shared" si="7"/>
        <v>September</v>
      </c>
      <c r="P247" t="str">
        <f t="shared" si="6"/>
        <v>Middle-Aged</v>
      </c>
    </row>
    <row r="248" spans="1:16" x14ac:dyDescent="0.25">
      <c r="A248">
        <v>1247</v>
      </c>
      <c r="B248" s="1">
        <v>45236</v>
      </c>
      <c r="C248" t="s">
        <v>16</v>
      </c>
      <c r="D248" t="s">
        <v>71</v>
      </c>
      <c r="E248" s="3">
        <v>682</v>
      </c>
      <c r="F248" s="3">
        <v>4</v>
      </c>
      <c r="G248" s="3">
        <v>2728</v>
      </c>
      <c r="H248" s="3">
        <v>24</v>
      </c>
      <c r="I248" t="s">
        <v>32</v>
      </c>
      <c r="J248" t="s">
        <v>63</v>
      </c>
      <c r="K248" t="s">
        <v>33</v>
      </c>
      <c r="L248" t="s">
        <v>47</v>
      </c>
      <c r="M248" s="2">
        <v>0.25</v>
      </c>
      <c r="N248" t="s">
        <v>29</v>
      </c>
      <c r="O248" t="str">
        <f t="shared" si="7"/>
        <v>November</v>
      </c>
      <c r="P248" t="str">
        <f t="shared" si="6"/>
        <v>Young Adult</v>
      </c>
    </row>
    <row r="249" spans="1:16" x14ac:dyDescent="0.25">
      <c r="A249">
        <v>1248</v>
      </c>
      <c r="B249" s="1">
        <v>45305</v>
      </c>
      <c r="C249" t="s">
        <v>39</v>
      </c>
      <c r="D249" t="s">
        <v>78</v>
      </c>
      <c r="E249" s="3">
        <v>992</v>
      </c>
      <c r="F249" s="3">
        <v>4</v>
      </c>
      <c r="G249" s="3">
        <v>3968</v>
      </c>
      <c r="H249" s="3">
        <v>19</v>
      </c>
      <c r="I249" t="s">
        <v>18</v>
      </c>
      <c r="J249" t="s">
        <v>26</v>
      </c>
      <c r="K249" t="s">
        <v>27</v>
      </c>
      <c r="L249" t="s">
        <v>28</v>
      </c>
      <c r="M249" s="2">
        <v>0.25</v>
      </c>
      <c r="N249" t="s">
        <v>29</v>
      </c>
      <c r="O249" t="str">
        <f t="shared" si="7"/>
        <v>January</v>
      </c>
      <c r="P249" t="str">
        <f t="shared" si="6"/>
        <v>Young Adult</v>
      </c>
    </row>
    <row r="250" spans="1:16" x14ac:dyDescent="0.25">
      <c r="A250">
        <v>1249</v>
      </c>
      <c r="B250" s="1">
        <v>45094</v>
      </c>
      <c r="C250" t="s">
        <v>16</v>
      </c>
      <c r="D250" t="s">
        <v>83</v>
      </c>
      <c r="E250" s="3">
        <v>839</v>
      </c>
      <c r="F250" s="3">
        <v>4</v>
      </c>
      <c r="G250" s="3">
        <v>3356</v>
      </c>
      <c r="H250" s="3">
        <v>50</v>
      </c>
      <c r="I250" t="s">
        <v>18</v>
      </c>
      <c r="J250" t="s">
        <v>60</v>
      </c>
      <c r="K250" t="s">
        <v>45</v>
      </c>
      <c r="L250" t="s">
        <v>28</v>
      </c>
      <c r="M250" s="2">
        <v>0.2</v>
      </c>
      <c r="N250" t="s">
        <v>22</v>
      </c>
      <c r="O250" t="str">
        <f t="shared" si="7"/>
        <v>June</v>
      </c>
      <c r="P250" t="str">
        <f t="shared" si="6"/>
        <v>Middle-Aged</v>
      </c>
    </row>
    <row r="251" spans="1:16" x14ac:dyDescent="0.25">
      <c r="A251">
        <v>1250</v>
      </c>
      <c r="B251" s="1">
        <v>45045</v>
      </c>
      <c r="C251" t="s">
        <v>30</v>
      </c>
      <c r="D251" t="s">
        <v>44</v>
      </c>
      <c r="E251" s="3">
        <v>436</v>
      </c>
      <c r="F251" s="3">
        <v>2</v>
      </c>
      <c r="G251" s="3">
        <v>872</v>
      </c>
      <c r="H251" s="3">
        <v>26</v>
      </c>
      <c r="I251" t="s">
        <v>32</v>
      </c>
      <c r="J251" t="s">
        <v>51</v>
      </c>
      <c r="K251" t="s">
        <v>42</v>
      </c>
      <c r="L251" t="s">
        <v>38</v>
      </c>
      <c r="M251" s="2">
        <v>0.3</v>
      </c>
      <c r="N251" t="s">
        <v>29</v>
      </c>
      <c r="O251" t="str">
        <f t="shared" si="7"/>
        <v>April</v>
      </c>
      <c r="P251" t="str">
        <f t="shared" si="6"/>
        <v>Young Adult</v>
      </c>
    </row>
    <row r="252" spans="1:16" x14ac:dyDescent="0.25">
      <c r="A252">
        <v>1251</v>
      </c>
      <c r="B252" s="1">
        <v>45209</v>
      </c>
      <c r="C252" t="s">
        <v>39</v>
      </c>
      <c r="D252" t="s">
        <v>61</v>
      </c>
      <c r="E252" s="3">
        <v>896</v>
      </c>
      <c r="F252" s="3">
        <v>3</v>
      </c>
      <c r="G252" s="3">
        <v>2688</v>
      </c>
      <c r="H252" s="3">
        <v>38</v>
      </c>
      <c r="I252" t="s">
        <v>32</v>
      </c>
      <c r="J252" t="s">
        <v>41</v>
      </c>
      <c r="K252" t="s">
        <v>45</v>
      </c>
      <c r="L252" t="s">
        <v>34</v>
      </c>
      <c r="M252" s="2">
        <v>0.1</v>
      </c>
      <c r="N252" t="s">
        <v>22</v>
      </c>
      <c r="O252" t="str">
        <f t="shared" si="7"/>
        <v>October</v>
      </c>
      <c r="P252" t="str">
        <f t="shared" si="6"/>
        <v>Adult</v>
      </c>
    </row>
    <row r="253" spans="1:16" x14ac:dyDescent="0.25">
      <c r="A253">
        <v>1252</v>
      </c>
      <c r="B253" s="1">
        <v>45075</v>
      </c>
      <c r="C253" t="s">
        <v>39</v>
      </c>
      <c r="D253" t="s">
        <v>68</v>
      </c>
      <c r="E253" s="3">
        <v>651</v>
      </c>
      <c r="F253" s="3">
        <v>3</v>
      </c>
      <c r="G253" s="3">
        <v>1953</v>
      </c>
      <c r="H253" s="3">
        <v>53</v>
      </c>
      <c r="I253" t="s">
        <v>32</v>
      </c>
      <c r="J253" t="s">
        <v>58</v>
      </c>
      <c r="K253" t="s">
        <v>37</v>
      </c>
      <c r="L253" t="s">
        <v>28</v>
      </c>
      <c r="M253" s="2">
        <v>0.15</v>
      </c>
      <c r="N253" t="s">
        <v>29</v>
      </c>
      <c r="O253" t="str">
        <f t="shared" si="7"/>
        <v>May</v>
      </c>
      <c r="P253" t="str">
        <f t="shared" si="6"/>
        <v>Middle-Aged</v>
      </c>
    </row>
    <row r="254" spans="1:16" x14ac:dyDescent="0.25">
      <c r="A254">
        <v>1253</v>
      </c>
      <c r="B254" s="1">
        <v>45248</v>
      </c>
      <c r="C254" t="s">
        <v>49</v>
      </c>
      <c r="D254" t="s">
        <v>81</v>
      </c>
      <c r="E254" s="3">
        <v>119</v>
      </c>
      <c r="F254" s="3">
        <v>1</v>
      </c>
      <c r="G254" s="3">
        <v>119</v>
      </c>
      <c r="H254" s="3">
        <v>49</v>
      </c>
      <c r="I254" t="s">
        <v>18</v>
      </c>
      <c r="J254" t="s">
        <v>19</v>
      </c>
      <c r="K254" t="s">
        <v>45</v>
      </c>
      <c r="L254" t="s">
        <v>38</v>
      </c>
      <c r="M254" s="2">
        <v>0.05</v>
      </c>
      <c r="N254" t="s">
        <v>22</v>
      </c>
      <c r="O254" t="str">
        <f t="shared" si="7"/>
        <v>November</v>
      </c>
      <c r="P254" t="str">
        <f t="shared" si="6"/>
        <v>Adult</v>
      </c>
    </row>
    <row r="255" spans="1:16" x14ac:dyDescent="0.25">
      <c r="A255">
        <v>1254</v>
      </c>
      <c r="B255" s="1">
        <v>45164</v>
      </c>
      <c r="C255" t="s">
        <v>35</v>
      </c>
      <c r="D255" t="s">
        <v>36</v>
      </c>
      <c r="E255" s="3">
        <v>916</v>
      </c>
      <c r="F255" s="3">
        <v>1</v>
      </c>
      <c r="G255" s="3">
        <v>916</v>
      </c>
      <c r="H255" s="3">
        <v>54</v>
      </c>
      <c r="I255" t="s">
        <v>32</v>
      </c>
      <c r="J255" t="s">
        <v>60</v>
      </c>
      <c r="K255" t="s">
        <v>37</v>
      </c>
      <c r="L255" t="s">
        <v>28</v>
      </c>
      <c r="M255" s="2">
        <v>0.05</v>
      </c>
      <c r="N255" t="s">
        <v>29</v>
      </c>
      <c r="O255" t="str">
        <f t="shared" si="7"/>
        <v>August</v>
      </c>
      <c r="P255" t="str">
        <f t="shared" si="6"/>
        <v>Middle-Aged</v>
      </c>
    </row>
    <row r="256" spans="1:16" x14ac:dyDescent="0.25">
      <c r="A256">
        <v>1255</v>
      </c>
      <c r="B256" s="1">
        <v>45164</v>
      </c>
      <c r="C256" t="s">
        <v>35</v>
      </c>
      <c r="D256" t="s">
        <v>72</v>
      </c>
      <c r="E256" s="3">
        <v>456</v>
      </c>
      <c r="F256" s="3">
        <v>3</v>
      </c>
      <c r="G256" s="3">
        <v>1368</v>
      </c>
      <c r="H256" s="3">
        <v>45</v>
      </c>
      <c r="I256" t="s">
        <v>32</v>
      </c>
      <c r="J256" t="s">
        <v>60</v>
      </c>
      <c r="K256" t="s">
        <v>27</v>
      </c>
      <c r="L256" t="s">
        <v>38</v>
      </c>
      <c r="M256" s="2">
        <v>0.25</v>
      </c>
      <c r="N256" t="s">
        <v>22</v>
      </c>
      <c r="O256" t="str">
        <f t="shared" si="7"/>
        <v>August</v>
      </c>
      <c r="P256" t="str">
        <f t="shared" si="6"/>
        <v>Adult</v>
      </c>
    </row>
    <row r="257" spans="1:16" x14ac:dyDescent="0.25">
      <c r="A257">
        <v>1256</v>
      </c>
      <c r="B257" s="1">
        <v>45156</v>
      </c>
      <c r="C257" t="s">
        <v>39</v>
      </c>
      <c r="D257" t="s">
        <v>68</v>
      </c>
      <c r="E257" s="3">
        <v>740</v>
      </c>
      <c r="F257" s="3">
        <v>3</v>
      </c>
      <c r="G257" s="3">
        <v>2220</v>
      </c>
      <c r="H257" s="3">
        <v>48</v>
      </c>
      <c r="I257" t="s">
        <v>32</v>
      </c>
      <c r="J257" t="s">
        <v>43</v>
      </c>
      <c r="K257" t="s">
        <v>45</v>
      </c>
      <c r="L257" t="s">
        <v>28</v>
      </c>
      <c r="M257" s="2">
        <v>0.25</v>
      </c>
      <c r="N257" t="s">
        <v>22</v>
      </c>
      <c r="O257" t="str">
        <f t="shared" si="7"/>
        <v>August</v>
      </c>
      <c r="P257" t="str">
        <f t="shared" si="6"/>
        <v>Adult</v>
      </c>
    </row>
    <row r="258" spans="1:16" x14ac:dyDescent="0.25">
      <c r="A258">
        <v>1257</v>
      </c>
      <c r="B258" s="1">
        <v>45301</v>
      </c>
      <c r="C258" t="s">
        <v>49</v>
      </c>
      <c r="D258" t="s">
        <v>81</v>
      </c>
      <c r="E258" s="3">
        <v>905</v>
      </c>
      <c r="F258" s="3">
        <v>2</v>
      </c>
      <c r="G258" s="3">
        <v>1810</v>
      </c>
      <c r="H258" s="3">
        <v>37</v>
      </c>
      <c r="I258" t="s">
        <v>32</v>
      </c>
      <c r="J258" t="s">
        <v>60</v>
      </c>
      <c r="K258" t="s">
        <v>27</v>
      </c>
      <c r="L258" t="s">
        <v>47</v>
      </c>
      <c r="M258" s="2">
        <v>0.05</v>
      </c>
      <c r="N258" t="s">
        <v>29</v>
      </c>
      <c r="O258" t="str">
        <f t="shared" si="7"/>
        <v>January</v>
      </c>
      <c r="P258" t="str">
        <f t="shared" ref="P258:P321" si="8">IF(H258&lt;13, "Child", IF(H258&lt;18, "Teen", IF(H258&lt;30, "Young Adult", IF(H258&lt;50, "Adult", IF(H258&lt;65, "Middle-Aged", "Senior")))))</f>
        <v>Adult</v>
      </c>
    </row>
    <row r="259" spans="1:16" x14ac:dyDescent="0.25">
      <c r="A259">
        <v>1258</v>
      </c>
      <c r="B259" s="1">
        <v>45159</v>
      </c>
      <c r="C259" t="s">
        <v>39</v>
      </c>
      <c r="D259" t="s">
        <v>40</v>
      </c>
      <c r="E259" s="3">
        <v>1130</v>
      </c>
      <c r="F259" s="3">
        <v>2</v>
      </c>
      <c r="G259" s="3">
        <v>2260</v>
      </c>
      <c r="H259" s="3">
        <v>45</v>
      </c>
      <c r="I259" t="s">
        <v>18</v>
      </c>
      <c r="J259" t="s">
        <v>19</v>
      </c>
      <c r="K259" t="s">
        <v>27</v>
      </c>
      <c r="L259" t="s">
        <v>34</v>
      </c>
      <c r="M259" s="2">
        <v>0.3</v>
      </c>
      <c r="N259" t="s">
        <v>29</v>
      </c>
      <c r="O259" t="str">
        <f t="shared" ref="O259:O322" si="9">TEXT(B259, "MMMM")</f>
        <v>August</v>
      </c>
      <c r="P259" t="str">
        <f t="shared" si="8"/>
        <v>Adult</v>
      </c>
    </row>
    <row r="260" spans="1:16" x14ac:dyDescent="0.25">
      <c r="A260">
        <v>1259</v>
      </c>
      <c r="B260" s="1">
        <v>45327</v>
      </c>
      <c r="C260" t="s">
        <v>52</v>
      </c>
      <c r="D260" t="s">
        <v>67</v>
      </c>
      <c r="E260" s="3">
        <v>1444</v>
      </c>
      <c r="F260" s="3">
        <v>2</v>
      </c>
      <c r="G260" s="3">
        <v>2888</v>
      </c>
      <c r="H260" s="3">
        <v>19</v>
      </c>
      <c r="I260" t="s">
        <v>18</v>
      </c>
      <c r="J260" t="s">
        <v>51</v>
      </c>
      <c r="K260" t="s">
        <v>27</v>
      </c>
      <c r="L260" t="s">
        <v>28</v>
      </c>
      <c r="M260" s="2">
        <v>0.15</v>
      </c>
      <c r="N260" t="s">
        <v>29</v>
      </c>
      <c r="O260" t="str">
        <f t="shared" si="9"/>
        <v>February</v>
      </c>
      <c r="P260" t="str">
        <f t="shared" si="8"/>
        <v>Young Adult</v>
      </c>
    </row>
    <row r="261" spans="1:16" x14ac:dyDescent="0.25">
      <c r="A261">
        <v>1260</v>
      </c>
      <c r="B261" s="1">
        <v>45202</v>
      </c>
      <c r="C261" t="s">
        <v>16</v>
      </c>
      <c r="D261" t="s">
        <v>59</v>
      </c>
      <c r="E261" s="3">
        <v>773</v>
      </c>
      <c r="F261" s="3">
        <v>1</v>
      </c>
      <c r="G261" s="3">
        <v>773</v>
      </c>
      <c r="H261" s="3">
        <v>52</v>
      </c>
      <c r="I261" t="s">
        <v>32</v>
      </c>
      <c r="J261" t="s">
        <v>26</v>
      </c>
      <c r="K261" t="s">
        <v>27</v>
      </c>
      <c r="L261" t="s">
        <v>34</v>
      </c>
      <c r="M261" s="2">
        <v>0.05</v>
      </c>
      <c r="N261" t="s">
        <v>29</v>
      </c>
      <c r="O261" t="str">
        <f t="shared" si="9"/>
        <v>October</v>
      </c>
      <c r="P261" t="str">
        <f t="shared" si="8"/>
        <v>Middle-Aged</v>
      </c>
    </row>
    <row r="262" spans="1:16" x14ac:dyDescent="0.25">
      <c r="A262">
        <v>1261</v>
      </c>
      <c r="B262" s="1">
        <v>44978</v>
      </c>
      <c r="C262" t="s">
        <v>35</v>
      </c>
      <c r="D262" t="s">
        <v>75</v>
      </c>
      <c r="E262" s="3">
        <v>133</v>
      </c>
      <c r="F262" s="3">
        <v>2</v>
      </c>
      <c r="G262" s="3">
        <v>266</v>
      </c>
      <c r="H262" s="3">
        <v>39</v>
      </c>
      <c r="I262" t="s">
        <v>32</v>
      </c>
      <c r="J262" t="s">
        <v>48</v>
      </c>
      <c r="K262" t="s">
        <v>37</v>
      </c>
      <c r="L262" t="s">
        <v>38</v>
      </c>
      <c r="M262" s="2">
        <v>0.3</v>
      </c>
      <c r="N262" t="s">
        <v>29</v>
      </c>
      <c r="O262" t="str">
        <f t="shared" si="9"/>
        <v>February</v>
      </c>
      <c r="P262" t="str">
        <f t="shared" si="8"/>
        <v>Adult</v>
      </c>
    </row>
    <row r="263" spans="1:16" x14ac:dyDescent="0.25">
      <c r="A263">
        <v>1262</v>
      </c>
      <c r="B263" s="1">
        <v>45146</v>
      </c>
      <c r="C263" t="s">
        <v>49</v>
      </c>
      <c r="D263" t="s">
        <v>50</v>
      </c>
      <c r="E263" s="3">
        <v>1098</v>
      </c>
      <c r="F263" s="3">
        <v>3</v>
      </c>
      <c r="G263" s="3">
        <v>3294</v>
      </c>
      <c r="H263" s="3">
        <v>30</v>
      </c>
      <c r="I263" t="s">
        <v>32</v>
      </c>
      <c r="J263" t="s">
        <v>58</v>
      </c>
      <c r="K263" t="s">
        <v>42</v>
      </c>
      <c r="L263" t="s">
        <v>47</v>
      </c>
      <c r="M263" s="2">
        <v>0.05</v>
      </c>
      <c r="N263" t="s">
        <v>22</v>
      </c>
      <c r="O263" t="str">
        <f t="shared" si="9"/>
        <v>August</v>
      </c>
      <c r="P263" t="str">
        <f t="shared" si="8"/>
        <v>Adult</v>
      </c>
    </row>
    <row r="264" spans="1:16" x14ac:dyDescent="0.25">
      <c r="A264">
        <v>1263</v>
      </c>
      <c r="B264" s="1">
        <v>45149</v>
      </c>
      <c r="C264" t="s">
        <v>39</v>
      </c>
      <c r="D264" t="s">
        <v>46</v>
      </c>
      <c r="E264" s="3">
        <v>1102</v>
      </c>
      <c r="F264" s="3">
        <v>1</v>
      </c>
      <c r="G264" s="3">
        <v>1102</v>
      </c>
      <c r="H264" s="3">
        <v>59</v>
      </c>
      <c r="I264" t="s">
        <v>32</v>
      </c>
      <c r="J264" t="s">
        <v>63</v>
      </c>
      <c r="K264" t="s">
        <v>45</v>
      </c>
      <c r="L264" t="s">
        <v>38</v>
      </c>
      <c r="M264" s="2">
        <v>0.1</v>
      </c>
      <c r="N264" t="s">
        <v>22</v>
      </c>
      <c r="O264" t="str">
        <f t="shared" si="9"/>
        <v>August</v>
      </c>
      <c r="P264" t="str">
        <f t="shared" si="8"/>
        <v>Middle-Aged</v>
      </c>
    </row>
    <row r="265" spans="1:16" x14ac:dyDescent="0.25">
      <c r="A265">
        <v>1264</v>
      </c>
      <c r="B265" s="1">
        <v>44955</v>
      </c>
      <c r="C265" t="s">
        <v>39</v>
      </c>
      <c r="D265" t="s">
        <v>46</v>
      </c>
      <c r="E265" s="3">
        <v>548</v>
      </c>
      <c r="F265" s="3">
        <v>4</v>
      </c>
      <c r="G265" s="3">
        <v>2192</v>
      </c>
      <c r="H265" s="3">
        <v>55</v>
      </c>
      <c r="I265" t="s">
        <v>32</v>
      </c>
      <c r="J265" t="s">
        <v>55</v>
      </c>
      <c r="K265" t="s">
        <v>33</v>
      </c>
      <c r="L265" t="s">
        <v>28</v>
      </c>
      <c r="M265" s="2">
        <v>0.25</v>
      </c>
      <c r="N265" t="s">
        <v>29</v>
      </c>
      <c r="O265" t="str">
        <f t="shared" si="9"/>
        <v>January</v>
      </c>
      <c r="P265" t="str">
        <f t="shared" si="8"/>
        <v>Middle-Aged</v>
      </c>
    </row>
    <row r="266" spans="1:16" x14ac:dyDescent="0.25">
      <c r="A266">
        <v>1265</v>
      </c>
      <c r="B266" s="1">
        <v>45021</v>
      </c>
      <c r="C266" t="s">
        <v>24</v>
      </c>
      <c r="D266" t="s">
        <v>76</v>
      </c>
      <c r="E266" s="3">
        <v>228</v>
      </c>
      <c r="F266" s="3">
        <v>4</v>
      </c>
      <c r="G266" s="3">
        <v>912</v>
      </c>
      <c r="H266" s="3">
        <v>45</v>
      </c>
      <c r="I266" t="s">
        <v>18</v>
      </c>
      <c r="J266" t="s">
        <v>63</v>
      </c>
      <c r="K266" t="s">
        <v>45</v>
      </c>
      <c r="L266" t="s">
        <v>34</v>
      </c>
      <c r="M266" s="2">
        <v>0.2</v>
      </c>
      <c r="N266" t="s">
        <v>22</v>
      </c>
      <c r="O266" t="str">
        <f t="shared" si="9"/>
        <v>April</v>
      </c>
      <c r="P266" t="str">
        <f t="shared" si="8"/>
        <v>Adult</v>
      </c>
    </row>
    <row r="267" spans="1:16" x14ac:dyDescent="0.25">
      <c r="A267">
        <v>1266</v>
      </c>
      <c r="B267" s="1">
        <v>45180</v>
      </c>
      <c r="C267" t="s">
        <v>24</v>
      </c>
      <c r="D267" t="s">
        <v>25</v>
      </c>
      <c r="E267" s="3">
        <v>396</v>
      </c>
      <c r="F267" s="3">
        <v>4</v>
      </c>
      <c r="G267" s="3">
        <v>1584</v>
      </c>
      <c r="H267" s="3">
        <v>40</v>
      </c>
      <c r="I267" t="s">
        <v>18</v>
      </c>
      <c r="J267" t="s">
        <v>43</v>
      </c>
      <c r="K267" t="s">
        <v>27</v>
      </c>
      <c r="L267" t="s">
        <v>34</v>
      </c>
      <c r="M267" s="2">
        <v>0.3</v>
      </c>
      <c r="N267" t="s">
        <v>29</v>
      </c>
      <c r="O267" t="str">
        <f t="shared" si="9"/>
        <v>September</v>
      </c>
      <c r="P267" t="str">
        <f t="shared" si="8"/>
        <v>Adult</v>
      </c>
    </row>
    <row r="268" spans="1:16" x14ac:dyDescent="0.25">
      <c r="A268">
        <v>1267</v>
      </c>
      <c r="B268" s="1">
        <v>45239</v>
      </c>
      <c r="C268" t="s">
        <v>24</v>
      </c>
      <c r="D268" t="s">
        <v>25</v>
      </c>
      <c r="E268" s="3">
        <v>619</v>
      </c>
      <c r="F268" s="3">
        <v>2</v>
      </c>
      <c r="G268" s="3">
        <v>1238</v>
      </c>
      <c r="H268" s="3">
        <v>34</v>
      </c>
      <c r="I268" t="s">
        <v>32</v>
      </c>
      <c r="J268" t="s">
        <v>19</v>
      </c>
      <c r="K268" t="s">
        <v>42</v>
      </c>
      <c r="L268" t="s">
        <v>21</v>
      </c>
      <c r="M268" s="2">
        <v>0.3</v>
      </c>
      <c r="N268" t="s">
        <v>29</v>
      </c>
      <c r="O268" t="str">
        <f t="shared" si="9"/>
        <v>November</v>
      </c>
      <c r="P268" t="str">
        <f t="shared" si="8"/>
        <v>Adult</v>
      </c>
    </row>
    <row r="269" spans="1:16" x14ac:dyDescent="0.25">
      <c r="A269">
        <v>1268</v>
      </c>
      <c r="B269" s="1">
        <v>45204</v>
      </c>
      <c r="C269" t="s">
        <v>52</v>
      </c>
      <c r="D269" t="s">
        <v>82</v>
      </c>
      <c r="E269" s="3">
        <v>745</v>
      </c>
      <c r="F269" s="3">
        <v>4</v>
      </c>
      <c r="G269" s="3">
        <v>2980</v>
      </c>
      <c r="H269" s="3">
        <v>28</v>
      </c>
      <c r="I269" t="s">
        <v>18</v>
      </c>
      <c r="J269" t="s">
        <v>55</v>
      </c>
      <c r="K269" t="s">
        <v>27</v>
      </c>
      <c r="L269" t="s">
        <v>28</v>
      </c>
      <c r="M269" s="2">
        <v>0.2</v>
      </c>
      <c r="N269" t="s">
        <v>22</v>
      </c>
      <c r="O269" t="str">
        <f t="shared" si="9"/>
        <v>October</v>
      </c>
      <c r="P269" t="str">
        <f t="shared" si="8"/>
        <v>Young Adult</v>
      </c>
    </row>
    <row r="270" spans="1:16" x14ac:dyDescent="0.25">
      <c r="A270">
        <v>1269</v>
      </c>
      <c r="B270" s="1">
        <v>45225</v>
      </c>
      <c r="C270" t="s">
        <v>16</v>
      </c>
      <c r="D270" t="s">
        <v>59</v>
      </c>
      <c r="E270" s="3">
        <v>346</v>
      </c>
      <c r="F270" s="3">
        <v>3</v>
      </c>
      <c r="G270" s="3">
        <v>1038</v>
      </c>
      <c r="H270" s="3">
        <v>40</v>
      </c>
      <c r="I270" t="s">
        <v>18</v>
      </c>
      <c r="J270" t="s">
        <v>43</v>
      </c>
      <c r="K270" t="s">
        <v>33</v>
      </c>
      <c r="L270" t="s">
        <v>47</v>
      </c>
      <c r="M270" s="2">
        <v>0.25</v>
      </c>
      <c r="N270" t="s">
        <v>29</v>
      </c>
      <c r="O270" t="str">
        <f t="shared" si="9"/>
        <v>October</v>
      </c>
      <c r="P270" t="str">
        <f t="shared" si="8"/>
        <v>Adult</v>
      </c>
    </row>
    <row r="271" spans="1:16" x14ac:dyDescent="0.25">
      <c r="A271">
        <v>1270</v>
      </c>
      <c r="B271" s="1">
        <v>45289</v>
      </c>
      <c r="C271" t="s">
        <v>16</v>
      </c>
      <c r="D271" t="s">
        <v>71</v>
      </c>
      <c r="E271" s="3">
        <v>181</v>
      </c>
      <c r="F271" s="3">
        <v>1</v>
      </c>
      <c r="G271" s="3">
        <v>181</v>
      </c>
      <c r="H271" s="3">
        <v>32</v>
      </c>
      <c r="I271" t="s">
        <v>18</v>
      </c>
      <c r="J271" t="s">
        <v>41</v>
      </c>
      <c r="K271" t="s">
        <v>27</v>
      </c>
      <c r="L271" t="s">
        <v>38</v>
      </c>
      <c r="M271" s="2">
        <v>0.25</v>
      </c>
      <c r="N271" t="s">
        <v>29</v>
      </c>
      <c r="O271" t="str">
        <f t="shared" si="9"/>
        <v>December</v>
      </c>
      <c r="P271" t="str">
        <f t="shared" si="8"/>
        <v>Adult</v>
      </c>
    </row>
    <row r="272" spans="1:16" x14ac:dyDescent="0.25">
      <c r="A272">
        <v>1271</v>
      </c>
      <c r="B272" s="1">
        <v>45302</v>
      </c>
      <c r="C272" t="s">
        <v>35</v>
      </c>
      <c r="D272" t="s">
        <v>75</v>
      </c>
      <c r="E272" s="3">
        <v>746</v>
      </c>
      <c r="F272" s="3">
        <v>4</v>
      </c>
      <c r="G272" s="3">
        <v>2984</v>
      </c>
      <c r="H272" s="3">
        <v>55</v>
      </c>
      <c r="I272" t="s">
        <v>18</v>
      </c>
      <c r="J272" t="s">
        <v>43</v>
      </c>
      <c r="K272" t="s">
        <v>27</v>
      </c>
      <c r="L272" t="s">
        <v>21</v>
      </c>
      <c r="M272" s="2">
        <v>0.25</v>
      </c>
      <c r="N272" t="s">
        <v>22</v>
      </c>
      <c r="O272" t="str">
        <f t="shared" si="9"/>
        <v>January</v>
      </c>
      <c r="P272" t="str">
        <f t="shared" si="8"/>
        <v>Middle-Aged</v>
      </c>
    </row>
    <row r="273" spans="1:16" x14ac:dyDescent="0.25">
      <c r="A273">
        <v>1272</v>
      </c>
      <c r="B273" s="1">
        <v>45022</v>
      </c>
      <c r="C273" t="s">
        <v>49</v>
      </c>
      <c r="D273" t="s">
        <v>66</v>
      </c>
      <c r="E273" s="3">
        <v>1495</v>
      </c>
      <c r="F273" s="3">
        <v>3</v>
      </c>
      <c r="G273" s="3">
        <v>4485</v>
      </c>
      <c r="H273" s="3">
        <v>49</v>
      </c>
      <c r="I273" t="s">
        <v>18</v>
      </c>
      <c r="J273" t="s">
        <v>19</v>
      </c>
      <c r="K273" t="s">
        <v>33</v>
      </c>
      <c r="L273" t="s">
        <v>34</v>
      </c>
      <c r="M273" s="2">
        <v>0.25</v>
      </c>
      <c r="N273" t="s">
        <v>29</v>
      </c>
      <c r="O273" t="str">
        <f t="shared" si="9"/>
        <v>April</v>
      </c>
      <c r="P273" t="str">
        <f t="shared" si="8"/>
        <v>Adult</v>
      </c>
    </row>
    <row r="274" spans="1:16" x14ac:dyDescent="0.25">
      <c r="A274">
        <v>1273</v>
      </c>
      <c r="B274" s="1">
        <v>45200</v>
      </c>
      <c r="C274" t="s">
        <v>49</v>
      </c>
      <c r="D274" t="s">
        <v>66</v>
      </c>
      <c r="E274" s="3">
        <v>1474</v>
      </c>
      <c r="F274" s="3">
        <v>3</v>
      </c>
      <c r="G274" s="3">
        <v>4422</v>
      </c>
      <c r="H274" s="3">
        <v>36</v>
      </c>
      <c r="I274" t="s">
        <v>32</v>
      </c>
      <c r="J274" t="s">
        <v>60</v>
      </c>
      <c r="K274" t="s">
        <v>27</v>
      </c>
      <c r="L274" t="s">
        <v>21</v>
      </c>
      <c r="M274" s="2">
        <v>0.05</v>
      </c>
      <c r="N274" t="s">
        <v>29</v>
      </c>
      <c r="O274" t="str">
        <f t="shared" si="9"/>
        <v>October</v>
      </c>
      <c r="P274" t="str">
        <f t="shared" si="8"/>
        <v>Adult</v>
      </c>
    </row>
    <row r="275" spans="1:16" x14ac:dyDescent="0.25">
      <c r="A275">
        <v>1274</v>
      </c>
      <c r="B275" s="1">
        <v>45228</v>
      </c>
      <c r="C275" t="s">
        <v>16</v>
      </c>
      <c r="D275" t="s">
        <v>62</v>
      </c>
      <c r="E275" s="3">
        <v>1340</v>
      </c>
      <c r="F275" s="3">
        <v>1</v>
      </c>
      <c r="G275" s="3">
        <v>1340</v>
      </c>
      <c r="H275" s="3">
        <v>30</v>
      </c>
      <c r="I275" t="s">
        <v>32</v>
      </c>
      <c r="J275" t="s">
        <v>41</v>
      </c>
      <c r="K275" t="s">
        <v>42</v>
      </c>
      <c r="L275" t="s">
        <v>28</v>
      </c>
      <c r="M275" s="2">
        <v>0.3</v>
      </c>
      <c r="N275" t="s">
        <v>22</v>
      </c>
      <c r="O275" t="str">
        <f t="shared" si="9"/>
        <v>October</v>
      </c>
      <c r="P275" t="str">
        <f t="shared" si="8"/>
        <v>Adult</v>
      </c>
    </row>
    <row r="276" spans="1:16" x14ac:dyDescent="0.25">
      <c r="A276">
        <v>1275</v>
      </c>
      <c r="B276" s="1">
        <v>44951</v>
      </c>
      <c r="C276" t="s">
        <v>39</v>
      </c>
      <c r="D276" t="s">
        <v>46</v>
      </c>
      <c r="E276" s="3">
        <v>390</v>
      </c>
      <c r="F276" s="3">
        <v>2</v>
      </c>
      <c r="G276" s="3">
        <v>780</v>
      </c>
      <c r="H276" s="3">
        <v>45</v>
      </c>
      <c r="I276" t="s">
        <v>32</v>
      </c>
      <c r="J276" t="s">
        <v>41</v>
      </c>
      <c r="K276" t="s">
        <v>33</v>
      </c>
      <c r="L276" t="s">
        <v>34</v>
      </c>
      <c r="M276" s="2">
        <v>0.2</v>
      </c>
      <c r="N276" t="s">
        <v>22</v>
      </c>
      <c r="O276" t="str">
        <f t="shared" si="9"/>
        <v>January</v>
      </c>
      <c r="P276" t="str">
        <f t="shared" si="8"/>
        <v>Adult</v>
      </c>
    </row>
    <row r="277" spans="1:16" x14ac:dyDescent="0.25">
      <c r="A277">
        <v>1276</v>
      </c>
      <c r="B277" s="1">
        <v>45224</v>
      </c>
      <c r="C277" t="s">
        <v>49</v>
      </c>
      <c r="D277" t="s">
        <v>81</v>
      </c>
      <c r="E277" s="3">
        <v>824</v>
      </c>
      <c r="F277" s="3">
        <v>1</v>
      </c>
      <c r="G277" s="3">
        <v>824</v>
      </c>
      <c r="H277" s="3">
        <v>50</v>
      </c>
      <c r="I277" t="s">
        <v>32</v>
      </c>
      <c r="J277" t="s">
        <v>19</v>
      </c>
      <c r="K277" t="s">
        <v>27</v>
      </c>
      <c r="L277" t="s">
        <v>34</v>
      </c>
      <c r="M277" s="2">
        <v>0.2</v>
      </c>
      <c r="N277" t="s">
        <v>29</v>
      </c>
      <c r="O277" t="str">
        <f t="shared" si="9"/>
        <v>October</v>
      </c>
      <c r="P277" t="str">
        <f t="shared" si="8"/>
        <v>Middle-Aged</v>
      </c>
    </row>
    <row r="278" spans="1:16" x14ac:dyDescent="0.25">
      <c r="A278">
        <v>1277</v>
      </c>
      <c r="B278" s="1">
        <v>45274</v>
      </c>
      <c r="C278" t="s">
        <v>35</v>
      </c>
      <c r="D278" t="s">
        <v>70</v>
      </c>
      <c r="E278" s="3">
        <v>1088</v>
      </c>
      <c r="F278" s="3">
        <v>3</v>
      </c>
      <c r="G278" s="3">
        <v>3264</v>
      </c>
      <c r="H278" s="3">
        <v>51</v>
      </c>
      <c r="I278" t="s">
        <v>18</v>
      </c>
      <c r="J278" t="s">
        <v>19</v>
      </c>
      <c r="K278" t="s">
        <v>37</v>
      </c>
      <c r="L278" t="s">
        <v>34</v>
      </c>
      <c r="M278" s="2">
        <v>0.15</v>
      </c>
      <c r="N278" t="s">
        <v>22</v>
      </c>
      <c r="O278" t="str">
        <f t="shared" si="9"/>
        <v>December</v>
      </c>
      <c r="P278" t="str">
        <f t="shared" si="8"/>
        <v>Middle-Aged</v>
      </c>
    </row>
    <row r="279" spans="1:16" x14ac:dyDescent="0.25">
      <c r="A279">
        <v>1278</v>
      </c>
      <c r="B279" s="1">
        <v>45241</v>
      </c>
      <c r="C279" t="s">
        <v>49</v>
      </c>
      <c r="D279" t="s">
        <v>81</v>
      </c>
      <c r="E279" s="3">
        <v>158</v>
      </c>
      <c r="F279" s="3">
        <v>1</v>
      </c>
      <c r="G279" s="3">
        <v>158</v>
      </c>
      <c r="H279" s="3">
        <v>19</v>
      </c>
      <c r="I279" t="s">
        <v>18</v>
      </c>
      <c r="J279" t="s">
        <v>51</v>
      </c>
      <c r="K279" t="s">
        <v>45</v>
      </c>
      <c r="L279" t="s">
        <v>28</v>
      </c>
      <c r="M279" s="2">
        <v>0.1</v>
      </c>
      <c r="N279" t="s">
        <v>29</v>
      </c>
      <c r="O279" t="str">
        <f t="shared" si="9"/>
        <v>November</v>
      </c>
      <c r="P279" t="str">
        <f t="shared" si="8"/>
        <v>Young Adult</v>
      </c>
    </row>
    <row r="280" spans="1:16" x14ac:dyDescent="0.25">
      <c r="A280">
        <v>1279</v>
      </c>
      <c r="B280" s="1">
        <v>45025</v>
      </c>
      <c r="C280" t="s">
        <v>30</v>
      </c>
      <c r="D280" t="s">
        <v>31</v>
      </c>
      <c r="E280" s="3">
        <v>568</v>
      </c>
      <c r="F280" s="3">
        <v>2</v>
      </c>
      <c r="G280" s="3">
        <v>1136</v>
      </c>
      <c r="H280" s="3">
        <v>40</v>
      </c>
      <c r="I280" t="s">
        <v>32</v>
      </c>
      <c r="J280" t="s">
        <v>55</v>
      </c>
      <c r="K280" t="s">
        <v>37</v>
      </c>
      <c r="L280" t="s">
        <v>34</v>
      </c>
      <c r="M280" s="2">
        <v>0.3</v>
      </c>
      <c r="N280" t="s">
        <v>29</v>
      </c>
      <c r="O280" t="str">
        <f t="shared" si="9"/>
        <v>April</v>
      </c>
      <c r="P280" t="str">
        <f t="shared" si="8"/>
        <v>Adult</v>
      </c>
    </row>
    <row r="281" spans="1:16" x14ac:dyDescent="0.25">
      <c r="A281">
        <v>1280</v>
      </c>
      <c r="B281" s="1">
        <v>45004</v>
      </c>
      <c r="C281" t="s">
        <v>16</v>
      </c>
      <c r="D281" t="s">
        <v>62</v>
      </c>
      <c r="E281" s="3">
        <v>1274</v>
      </c>
      <c r="F281" s="3">
        <v>2</v>
      </c>
      <c r="G281" s="3">
        <v>2548</v>
      </c>
      <c r="H281" s="3">
        <v>24</v>
      </c>
      <c r="I281" t="s">
        <v>18</v>
      </c>
      <c r="J281" t="s">
        <v>48</v>
      </c>
      <c r="K281" t="s">
        <v>27</v>
      </c>
      <c r="L281" t="s">
        <v>28</v>
      </c>
      <c r="M281" s="2">
        <v>0.1</v>
      </c>
      <c r="N281" t="s">
        <v>22</v>
      </c>
      <c r="O281" t="str">
        <f t="shared" si="9"/>
        <v>March</v>
      </c>
      <c r="P281" t="str">
        <f t="shared" si="8"/>
        <v>Young Adult</v>
      </c>
    </row>
    <row r="282" spans="1:16" x14ac:dyDescent="0.25">
      <c r="A282">
        <v>1281</v>
      </c>
      <c r="B282" s="1">
        <v>44975</v>
      </c>
      <c r="C282" t="s">
        <v>39</v>
      </c>
      <c r="D282" t="s">
        <v>61</v>
      </c>
      <c r="E282" s="3">
        <v>683</v>
      </c>
      <c r="F282" s="3">
        <v>4</v>
      </c>
      <c r="G282" s="3">
        <v>2732</v>
      </c>
      <c r="H282" s="3">
        <v>40</v>
      </c>
      <c r="I282" t="s">
        <v>18</v>
      </c>
      <c r="J282" t="s">
        <v>26</v>
      </c>
      <c r="K282" t="s">
        <v>33</v>
      </c>
      <c r="L282" t="s">
        <v>21</v>
      </c>
      <c r="M282" s="2">
        <v>0.3</v>
      </c>
      <c r="N282" t="s">
        <v>29</v>
      </c>
      <c r="O282" t="str">
        <f t="shared" si="9"/>
        <v>February</v>
      </c>
      <c r="P282" t="str">
        <f t="shared" si="8"/>
        <v>Adult</v>
      </c>
    </row>
    <row r="283" spans="1:16" x14ac:dyDescent="0.25">
      <c r="A283">
        <v>1282</v>
      </c>
      <c r="B283" s="1">
        <v>44963</v>
      </c>
      <c r="C283" t="s">
        <v>24</v>
      </c>
      <c r="D283" t="s">
        <v>54</v>
      </c>
      <c r="E283" s="3">
        <v>1397</v>
      </c>
      <c r="F283" s="3">
        <v>5</v>
      </c>
      <c r="G283" s="3">
        <v>6985</v>
      </c>
      <c r="H283" s="3">
        <v>36</v>
      </c>
      <c r="I283" t="s">
        <v>18</v>
      </c>
      <c r="J283" t="s">
        <v>51</v>
      </c>
      <c r="K283" t="s">
        <v>20</v>
      </c>
      <c r="L283" t="s">
        <v>28</v>
      </c>
      <c r="M283" s="2">
        <v>0.05</v>
      </c>
      <c r="N283" t="s">
        <v>22</v>
      </c>
      <c r="O283" t="str">
        <f t="shared" si="9"/>
        <v>February</v>
      </c>
      <c r="P283" t="str">
        <f t="shared" si="8"/>
        <v>Adult</v>
      </c>
    </row>
    <row r="284" spans="1:16" x14ac:dyDescent="0.25">
      <c r="A284">
        <v>1283</v>
      </c>
      <c r="B284" s="1">
        <v>45194</v>
      </c>
      <c r="C284" t="s">
        <v>49</v>
      </c>
      <c r="D284" t="s">
        <v>64</v>
      </c>
      <c r="E284" s="3">
        <v>840</v>
      </c>
      <c r="F284" s="3">
        <v>5</v>
      </c>
      <c r="G284" s="3">
        <v>4200</v>
      </c>
      <c r="H284" s="3">
        <v>56</v>
      </c>
      <c r="I284" t="s">
        <v>32</v>
      </c>
      <c r="J284" t="s">
        <v>48</v>
      </c>
      <c r="K284" t="s">
        <v>20</v>
      </c>
      <c r="L284" t="s">
        <v>21</v>
      </c>
      <c r="M284" s="2">
        <v>0.25</v>
      </c>
      <c r="N284" t="s">
        <v>29</v>
      </c>
      <c r="O284" t="str">
        <f t="shared" si="9"/>
        <v>September</v>
      </c>
      <c r="P284" t="str">
        <f t="shared" si="8"/>
        <v>Middle-Aged</v>
      </c>
    </row>
    <row r="285" spans="1:16" x14ac:dyDescent="0.25">
      <c r="A285">
        <v>1284</v>
      </c>
      <c r="B285" s="1">
        <v>45098</v>
      </c>
      <c r="C285" t="s">
        <v>24</v>
      </c>
      <c r="D285" t="s">
        <v>84</v>
      </c>
      <c r="E285" s="3">
        <v>1460</v>
      </c>
      <c r="F285" s="3">
        <v>3</v>
      </c>
      <c r="G285" s="3">
        <v>4380</v>
      </c>
      <c r="H285" s="3">
        <v>54</v>
      </c>
      <c r="I285" t="s">
        <v>18</v>
      </c>
      <c r="J285" t="s">
        <v>26</v>
      </c>
      <c r="K285" t="s">
        <v>37</v>
      </c>
      <c r="L285" t="s">
        <v>47</v>
      </c>
      <c r="M285" s="2">
        <v>0.15</v>
      </c>
      <c r="N285" t="s">
        <v>29</v>
      </c>
      <c r="O285" t="str">
        <f t="shared" si="9"/>
        <v>June</v>
      </c>
      <c r="P285" t="str">
        <f t="shared" si="8"/>
        <v>Middle-Aged</v>
      </c>
    </row>
    <row r="286" spans="1:16" x14ac:dyDescent="0.25">
      <c r="A286">
        <v>1285</v>
      </c>
      <c r="B286" s="1">
        <v>45325</v>
      </c>
      <c r="C286" t="s">
        <v>24</v>
      </c>
      <c r="D286" t="s">
        <v>25</v>
      </c>
      <c r="E286" s="3">
        <v>510</v>
      </c>
      <c r="F286" s="3">
        <v>4</v>
      </c>
      <c r="G286" s="3">
        <v>2040</v>
      </c>
      <c r="H286" s="3">
        <v>47</v>
      </c>
      <c r="I286" t="s">
        <v>18</v>
      </c>
      <c r="J286" t="s">
        <v>55</v>
      </c>
      <c r="K286" t="s">
        <v>27</v>
      </c>
      <c r="L286" t="s">
        <v>21</v>
      </c>
      <c r="M286" s="2">
        <v>0.05</v>
      </c>
      <c r="N286" t="s">
        <v>29</v>
      </c>
      <c r="O286" t="str">
        <f t="shared" si="9"/>
        <v>February</v>
      </c>
      <c r="P286" t="str">
        <f t="shared" si="8"/>
        <v>Adult</v>
      </c>
    </row>
    <row r="287" spans="1:16" x14ac:dyDescent="0.25">
      <c r="A287">
        <v>1286</v>
      </c>
      <c r="B287" s="1">
        <v>45183</v>
      </c>
      <c r="C287" t="s">
        <v>39</v>
      </c>
      <c r="D287" t="s">
        <v>40</v>
      </c>
      <c r="E287" s="3">
        <v>1049</v>
      </c>
      <c r="F287" s="3">
        <v>4</v>
      </c>
      <c r="G287" s="3">
        <v>4196</v>
      </c>
      <c r="H287" s="3">
        <v>37</v>
      </c>
      <c r="I287" t="s">
        <v>18</v>
      </c>
      <c r="J287" t="s">
        <v>55</v>
      </c>
      <c r="K287" t="s">
        <v>42</v>
      </c>
      <c r="L287" t="s">
        <v>38</v>
      </c>
      <c r="M287" s="2">
        <v>0.15</v>
      </c>
      <c r="N287" t="s">
        <v>29</v>
      </c>
      <c r="O287" t="str">
        <f t="shared" si="9"/>
        <v>September</v>
      </c>
      <c r="P287" t="str">
        <f t="shared" si="8"/>
        <v>Adult</v>
      </c>
    </row>
    <row r="288" spans="1:16" x14ac:dyDescent="0.25">
      <c r="A288">
        <v>1287</v>
      </c>
      <c r="B288" s="1">
        <v>45149</v>
      </c>
      <c r="C288" t="s">
        <v>16</v>
      </c>
      <c r="D288" t="s">
        <v>62</v>
      </c>
      <c r="E288" s="3">
        <v>894</v>
      </c>
      <c r="F288" s="3">
        <v>4</v>
      </c>
      <c r="G288" s="3">
        <v>3576</v>
      </c>
      <c r="H288" s="3">
        <v>33</v>
      </c>
      <c r="I288" t="s">
        <v>18</v>
      </c>
      <c r="J288" t="s">
        <v>43</v>
      </c>
      <c r="K288" t="s">
        <v>45</v>
      </c>
      <c r="L288" t="s">
        <v>34</v>
      </c>
      <c r="M288" s="2">
        <v>0.25</v>
      </c>
      <c r="N288" t="s">
        <v>22</v>
      </c>
      <c r="O288" t="str">
        <f t="shared" si="9"/>
        <v>August</v>
      </c>
      <c r="P288" t="str">
        <f t="shared" si="8"/>
        <v>Adult</v>
      </c>
    </row>
    <row r="289" spans="1:16" x14ac:dyDescent="0.25">
      <c r="A289">
        <v>1288</v>
      </c>
      <c r="B289" s="1">
        <v>45267</v>
      </c>
      <c r="C289" t="s">
        <v>49</v>
      </c>
      <c r="D289" t="s">
        <v>81</v>
      </c>
      <c r="E289" s="3">
        <v>813</v>
      </c>
      <c r="F289" s="3">
        <v>3</v>
      </c>
      <c r="G289" s="3">
        <v>2439</v>
      </c>
      <c r="H289" s="3">
        <v>21</v>
      </c>
      <c r="I289" t="s">
        <v>32</v>
      </c>
      <c r="J289" t="s">
        <v>63</v>
      </c>
      <c r="K289" t="s">
        <v>27</v>
      </c>
      <c r="L289" t="s">
        <v>38</v>
      </c>
      <c r="M289" s="2">
        <v>0.2</v>
      </c>
      <c r="N289" t="s">
        <v>29</v>
      </c>
      <c r="O289" t="str">
        <f t="shared" si="9"/>
        <v>December</v>
      </c>
      <c r="P289" t="str">
        <f t="shared" si="8"/>
        <v>Young Adult</v>
      </c>
    </row>
    <row r="290" spans="1:16" x14ac:dyDescent="0.25">
      <c r="A290">
        <v>1289</v>
      </c>
      <c r="B290" s="1">
        <v>45224</v>
      </c>
      <c r="C290" t="s">
        <v>35</v>
      </c>
      <c r="D290" t="s">
        <v>70</v>
      </c>
      <c r="E290" s="3">
        <v>57</v>
      </c>
      <c r="F290" s="3">
        <v>3</v>
      </c>
      <c r="G290" s="3">
        <v>171</v>
      </c>
      <c r="H290" s="3">
        <v>46</v>
      </c>
      <c r="I290" t="s">
        <v>18</v>
      </c>
      <c r="J290" t="s">
        <v>51</v>
      </c>
      <c r="K290" t="s">
        <v>45</v>
      </c>
      <c r="L290" t="s">
        <v>28</v>
      </c>
      <c r="M290" s="2">
        <v>0.15</v>
      </c>
      <c r="N290" t="s">
        <v>29</v>
      </c>
      <c r="O290" t="str">
        <f t="shared" si="9"/>
        <v>October</v>
      </c>
      <c r="P290" t="str">
        <f t="shared" si="8"/>
        <v>Adult</v>
      </c>
    </row>
    <row r="291" spans="1:16" x14ac:dyDescent="0.25">
      <c r="A291">
        <v>1290</v>
      </c>
      <c r="B291" s="1">
        <v>45035</v>
      </c>
      <c r="C291" t="s">
        <v>49</v>
      </c>
      <c r="D291" t="s">
        <v>81</v>
      </c>
      <c r="E291" s="3">
        <v>987</v>
      </c>
      <c r="F291" s="3">
        <v>5</v>
      </c>
      <c r="G291" s="3">
        <v>4935</v>
      </c>
      <c r="H291" s="3">
        <v>29</v>
      </c>
      <c r="I291" t="s">
        <v>32</v>
      </c>
      <c r="J291" t="s">
        <v>51</v>
      </c>
      <c r="K291" t="s">
        <v>27</v>
      </c>
      <c r="L291" t="s">
        <v>21</v>
      </c>
      <c r="M291" s="2">
        <v>0.2</v>
      </c>
      <c r="N291" t="s">
        <v>29</v>
      </c>
      <c r="O291" t="str">
        <f t="shared" si="9"/>
        <v>April</v>
      </c>
      <c r="P291" t="str">
        <f t="shared" si="8"/>
        <v>Young Adult</v>
      </c>
    </row>
    <row r="292" spans="1:16" x14ac:dyDescent="0.25">
      <c r="A292">
        <v>1291</v>
      </c>
      <c r="B292" s="1">
        <v>45003</v>
      </c>
      <c r="C292" t="s">
        <v>16</v>
      </c>
      <c r="D292" t="s">
        <v>71</v>
      </c>
      <c r="E292" s="3">
        <v>1447</v>
      </c>
      <c r="F292" s="3">
        <v>2</v>
      </c>
      <c r="G292" s="3">
        <v>2894</v>
      </c>
      <c r="H292" s="3">
        <v>49</v>
      </c>
      <c r="I292" t="s">
        <v>18</v>
      </c>
      <c r="J292" t="s">
        <v>58</v>
      </c>
      <c r="K292" t="s">
        <v>45</v>
      </c>
      <c r="L292" t="s">
        <v>28</v>
      </c>
      <c r="M292" s="2">
        <v>0.1</v>
      </c>
      <c r="N292" t="s">
        <v>22</v>
      </c>
      <c r="O292" t="str">
        <f t="shared" si="9"/>
        <v>March</v>
      </c>
      <c r="P292" t="str">
        <f t="shared" si="8"/>
        <v>Adult</v>
      </c>
    </row>
    <row r="293" spans="1:16" x14ac:dyDescent="0.25">
      <c r="A293">
        <v>1292</v>
      </c>
      <c r="B293" s="1">
        <v>45263</v>
      </c>
      <c r="C293" t="s">
        <v>39</v>
      </c>
      <c r="D293" t="s">
        <v>61</v>
      </c>
      <c r="E293" s="3">
        <v>62</v>
      </c>
      <c r="F293" s="3">
        <v>3</v>
      </c>
      <c r="G293" s="3">
        <v>186</v>
      </c>
      <c r="H293" s="3">
        <v>39</v>
      </c>
      <c r="I293" t="s">
        <v>32</v>
      </c>
      <c r="J293" t="s">
        <v>58</v>
      </c>
      <c r="K293" t="s">
        <v>27</v>
      </c>
      <c r="L293" t="s">
        <v>38</v>
      </c>
      <c r="M293" s="2">
        <v>0.1</v>
      </c>
      <c r="N293" t="s">
        <v>29</v>
      </c>
      <c r="O293" t="str">
        <f t="shared" si="9"/>
        <v>December</v>
      </c>
      <c r="P293" t="str">
        <f t="shared" si="8"/>
        <v>Adult</v>
      </c>
    </row>
    <row r="294" spans="1:16" x14ac:dyDescent="0.25">
      <c r="A294">
        <v>1293</v>
      </c>
      <c r="B294" s="1">
        <v>45056</v>
      </c>
      <c r="C294" t="s">
        <v>16</v>
      </c>
      <c r="D294" t="s">
        <v>59</v>
      </c>
      <c r="E294" s="3">
        <v>819</v>
      </c>
      <c r="F294" s="3">
        <v>5</v>
      </c>
      <c r="G294" s="3">
        <v>4095</v>
      </c>
      <c r="H294" s="3">
        <v>47</v>
      </c>
      <c r="I294" t="s">
        <v>32</v>
      </c>
      <c r="J294" t="s">
        <v>48</v>
      </c>
      <c r="K294" t="s">
        <v>27</v>
      </c>
      <c r="L294" t="s">
        <v>47</v>
      </c>
      <c r="M294" s="2">
        <v>0.1</v>
      </c>
      <c r="N294" t="s">
        <v>29</v>
      </c>
      <c r="O294" t="str">
        <f t="shared" si="9"/>
        <v>May</v>
      </c>
      <c r="P294" t="str">
        <f t="shared" si="8"/>
        <v>Adult</v>
      </c>
    </row>
    <row r="295" spans="1:16" x14ac:dyDescent="0.25">
      <c r="A295">
        <v>1294</v>
      </c>
      <c r="B295" s="1">
        <v>44939</v>
      </c>
      <c r="C295" t="s">
        <v>39</v>
      </c>
      <c r="D295" t="s">
        <v>40</v>
      </c>
      <c r="E295" s="3">
        <v>1498</v>
      </c>
      <c r="F295" s="3">
        <v>2</v>
      </c>
      <c r="G295" s="3">
        <v>2996</v>
      </c>
      <c r="H295" s="3">
        <v>49</v>
      </c>
      <c r="I295" t="s">
        <v>32</v>
      </c>
      <c r="J295" t="s">
        <v>58</v>
      </c>
      <c r="K295" t="s">
        <v>37</v>
      </c>
      <c r="L295" t="s">
        <v>38</v>
      </c>
      <c r="M295" s="2">
        <v>0.25</v>
      </c>
      <c r="N295" t="s">
        <v>29</v>
      </c>
      <c r="O295" t="str">
        <f t="shared" si="9"/>
        <v>January</v>
      </c>
      <c r="P295" t="str">
        <f t="shared" si="8"/>
        <v>Adult</v>
      </c>
    </row>
    <row r="296" spans="1:16" x14ac:dyDescent="0.25">
      <c r="A296">
        <v>1295</v>
      </c>
      <c r="B296" s="1">
        <v>45106</v>
      </c>
      <c r="C296" t="s">
        <v>16</v>
      </c>
      <c r="D296" t="s">
        <v>71</v>
      </c>
      <c r="E296" s="3">
        <v>1288</v>
      </c>
      <c r="F296" s="3">
        <v>5</v>
      </c>
      <c r="G296" s="3">
        <v>6440</v>
      </c>
      <c r="H296" s="3">
        <v>28</v>
      </c>
      <c r="I296" t="s">
        <v>18</v>
      </c>
      <c r="J296" t="s">
        <v>48</v>
      </c>
      <c r="K296" t="s">
        <v>20</v>
      </c>
      <c r="L296" t="s">
        <v>21</v>
      </c>
      <c r="M296" s="2">
        <v>0.2</v>
      </c>
      <c r="N296" t="s">
        <v>29</v>
      </c>
      <c r="O296" t="str">
        <f t="shared" si="9"/>
        <v>June</v>
      </c>
      <c r="P296" t="str">
        <f t="shared" si="8"/>
        <v>Young Adult</v>
      </c>
    </row>
    <row r="297" spans="1:16" x14ac:dyDescent="0.25">
      <c r="A297">
        <v>1296</v>
      </c>
      <c r="B297" s="1">
        <v>45064</v>
      </c>
      <c r="C297" t="s">
        <v>52</v>
      </c>
      <c r="D297" t="s">
        <v>53</v>
      </c>
      <c r="E297" s="3">
        <v>1309</v>
      </c>
      <c r="F297" s="3">
        <v>4</v>
      </c>
      <c r="G297" s="3">
        <v>5236</v>
      </c>
      <c r="H297" s="3">
        <v>33</v>
      </c>
      <c r="I297" t="s">
        <v>18</v>
      </c>
      <c r="J297" t="s">
        <v>58</v>
      </c>
      <c r="K297" t="s">
        <v>27</v>
      </c>
      <c r="L297" t="s">
        <v>38</v>
      </c>
      <c r="M297" s="2">
        <v>0.25</v>
      </c>
      <c r="N297" t="s">
        <v>22</v>
      </c>
      <c r="O297" t="str">
        <f t="shared" si="9"/>
        <v>May</v>
      </c>
      <c r="P297" t="str">
        <f t="shared" si="8"/>
        <v>Adult</v>
      </c>
    </row>
    <row r="298" spans="1:16" x14ac:dyDescent="0.25">
      <c r="A298">
        <v>1297</v>
      </c>
      <c r="B298" s="1">
        <v>45170</v>
      </c>
      <c r="C298" t="s">
        <v>24</v>
      </c>
      <c r="D298" t="s">
        <v>80</v>
      </c>
      <c r="E298" s="3">
        <v>1031</v>
      </c>
      <c r="F298" s="3">
        <v>3</v>
      </c>
      <c r="G298" s="3">
        <v>3093</v>
      </c>
      <c r="H298" s="3">
        <v>24</v>
      </c>
      <c r="I298" t="s">
        <v>32</v>
      </c>
      <c r="J298" t="s">
        <v>51</v>
      </c>
      <c r="K298" t="s">
        <v>42</v>
      </c>
      <c r="L298" t="s">
        <v>38</v>
      </c>
      <c r="M298" s="2">
        <v>0.25</v>
      </c>
      <c r="N298" t="s">
        <v>29</v>
      </c>
      <c r="O298" t="str">
        <f t="shared" si="9"/>
        <v>September</v>
      </c>
      <c r="P298" t="str">
        <f t="shared" si="8"/>
        <v>Young Adult</v>
      </c>
    </row>
    <row r="299" spans="1:16" x14ac:dyDescent="0.25">
      <c r="A299">
        <v>1298</v>
      </c>
      <c r="B299" s="1">
        <v>45118</v>
      </c>
      <c r="C299" t="s">
        <v>49</v>
      </c>
      <c r="D299" t="s">
        <v>57</v>
      </c>
      <c r="E299" s="3">
        <v>678</v>
      </c>
      <c r="F299" s="3">
        <v>2</v>
      </c>
      <c r="G299" s="3">
        <v>1356</v>
      </c>
      <c r="H299" s="3">
        <v>33</v>
      </c>
      <c r="I299" t="s">
        <v>32</v>
      </c>
      <c r="J299" t="s">
        <v>58</v>
      </c>
      <c r="K299" t="s">
        <v>42</v>
      </c>
      <c r="L299" t="s">
        <v>38</v>
      </c>
      <c r="M299" s="2">
        <v>0.15</v>
      </c>
      <c r="N299" t="s">
        <v>29</v>
      </c>
      <c r="O299" t="str">
        <f t="shared" si="9"/>
        <v>July</v>
      </c>
      <c r="P299" t="str">
        <f t="shared" si="8"/>
        <v>Adult</v>
      </c>
    </row>
    <row r="300" spans="1:16" x14ac:dyDescent="0.25">
      <c r="A300">
        <v>1299</v>
      </c>
      <c r="B300" s="1">
        <v>45245</v>
      </c>
      <c r="C300" t="s">
        <v>16</v>
      </c>
      <c r="D300" t="s">
        <v>56</v>
      </c>
      <c r="E300" s="3">
        <v>1135</v>
      </c>
      <c r="F300" s="3">
        <v>5</v>
      </c>
      <c r="G300" s="3">
        <v>5675</v>
      </c>
      <c r="H300" s="3">
        <v>50</v>
      </c>
      <c r="I300" t="s">
        <v>32</v>
      </c>
      <c r="J300" t="s">
        <v>43</v>
      </c>
      <c r="K300" t="s">
        <v>33</v>
      </c>
      <c r="L300" t="s">
        <v>38</v>
      </c>
      <c r="M300" s="2">
        <v>0.2</v>
      </c>
      <c r="N300" t="s">
        <v>29</v>
      </c>
      <c r="O300" t="str">
        <f t="shared" si="9"/>
        <v>November</v>
      </c>
      <c r="P300" t="str">
        <f t="shared" si="8"/>
        <v>Middle-Aged</v>
      </c>
    </row>
    <row r="301" spans="1:16" x14ac:dyDescent="0.25">
      <c r="A301">
        <v>1300</v>
      </c>
      <c r="B301" s="1">
        <v>45233</v>
      </c>
      <c r="C301" t="s">
        <v>39</v>
      </c>
      <c r="D301" t="s">
        <v>46</v>
      </c>
      <c r="E301" s="3">
        <v>1307</v>
      </c>
      <c r="F301" s="3">
        <v>1</v>
      </c>
      <c r="G301" s="3">
        <v>1307</v>
      </c>
      <c r="H301" s="3">
        <v>26</v>
      </c>
      <c r="I301" t="s">
        <v>32</v>
      </c>
      <c r="J301" t="s">
        <v>58</v>
      </c>
      <c r="K301" t="s">
        <v>37</v>
      </c>
      <c r="L301" t="s">
        <v>28</v>
      </c>
      <c r="M301" s="2">
        <v>0.3</v>
      </c>
      <c r="N301" t="s">
        <v>22</v>
      </c>
      <c r="O301" t="str">
        <f t="shared" si="9"/>
        <v>November</v>
      </c>
      <c r="P301" t="str">
        <f t="shared" si="8"/>
        <v>Young Adult</v>
      </c>
    </row>
    <row r="302" spans="1:16" x14ac:dyDescent="0.25">
      <c r="A302">
        <v>1301</v>
      </c>
      <c r="B302" s="1">
        <v>45271</v>
      </c>
      <c r="C302" t="s">
        <v>39</v>
      </c>
      <c r="D302" t="s">
        <v>78</v>
      </c>
      <c r="E302" s="3">
        <v>1132</v>
      </c>
      <c r="F302" s="3">
        <v>1</v>
      </c>
      <c r="G302" s="3">
        <v>1132</v>
      </c>
      <c r="H302" s="3">
        <v>44</v>
      </c>
      <c r="I302" t="s">
        <v>32</v>
      </c>
      <c r="J302" t="s">
        <v>55</v>
      </c>
      <c r="K302" t="s">
        <v>33</v>
      </c>
      <c r="L302" t="s">
        <v>21</v>
      </c>
      <c r="M302" s="2">
        <v>0.15</v>
      </c>
      <c r="N302" t="s">
        <v>29</v>
      </c>
      <c r="O302" t="str">
        <f t="shared" si="9"/>
        <v>December</v>
      </c>
      <c r="P302" t="str">
        <f t="shared" si="8"/>
        <v>Adult</v>
      </c>
    </row>
    <row r="303" spans="1:16" x14ac:dyDescent="0.25">
      <c r="A303">
        <v>1302</v>
      </c>
      <c r="B303" s="1">
        <v>45126</v>
      </c>
      <c r="C303" t="s">
        <v>49</v>
      </c>
      <c r="D303" t="s">
        <v>66</v>
      </c>
      <c r="E303" s="3">
        <v>259</v>
      </c>
      <c r="F303" s="3">
        <v>4</v>
      </c>
      <c r="G303" s="3">
        <v>1036</v>
      </c>
      <c r="H303" s="3">
        <v>35</v>
      </c>
      <c r="I303" t="s">
        <v>18</v>
      </c>
      <c r="J303" t="s">
        <v>51</v>
      </c>
      <c r="K303" t="s">
        <v>33</v>
      </c>
      <c r="L303" t="s">
        <v>21</v>
      </c>
      <c r="M303" s="2">
        <v>0.3</v>
      </c>
      <c r="N303" t="s">
        <v>29</v>
      </c>
      <c r="O303" t="str">
        <f t="shared" si="9"/>
        <v>July</v>
      </c>
      <c r="P303" t="str">
        <f t="shared" si="8"/>
        <v>Adult</v>
      </c>
    </row>
    <row r="304" spans="1:16" x14ac:dyDescent="0.25">
      <c r="A304">
        <v>1303</v>
      </c>
      <c r="B304" s="1">
        <v>45138</v>
      </c>
      <c r="C304" t="s">
        <v>16</v>
      </c>
      <c r="D304" t="s">
        <v>71</v>
      </c>
      <c r="E304" s="3">
        <v>280</v>
      </c>
      <c r="F304" s="3">
        <v>3</v>
      </c>
      <c r="G304" s="3">
        <v>840</v>
      </c>
      <c r="H304" s="3">
        <v>41</v>
      </c>
      <c r="I304" t="s">
        <v>32</v>
      </c>
      <c r="J304" t="s">
        <v>51</v>
      </c>
      <c r="K304" t="s">
        <v>20</v>
      </c>
      <c r="L304" t="s">
        <v>47</v>
      </c>
      <c r="M304" s="2">
        <v>0.05</v>
      </c>
      <c r="N304" t="s">
        <v>29</v>
      </c>
      <c r="O304" t="str">
        <f t="shared" si="9"/>
        <v>July</v>
      </c>
      <c r="P304" t="str">
        <f t="shared" si="8"/>
        <v>Adult</v>
      </c>
    </row>
    <row r="305" spans="1:16" x14ac:dyDescent="0.25">
      <c r="A305">
        <v>1304</v>
      </c>
      <c r="B305" s="1">
        <v>45004</v>
      </c>
      <c r="C305" t="s">
        <v>39</v>
      </c>
      <c r="D305" t="s">
        <v>78</v>
      </c>
      <c r="E305" s="3">
        <v>233</v>
      </c>
      <c r="F305" s="3">
        <v>5</v>
      </c>
      <c r="G305" s="3">
        <v>1165</v>
      </c>
      <c r="H305" s="3">
        <v>42</v>
      </c>
      <c r="I305" t="s">
        <v>18</v>
      </c>
      <c r="J305" t="s">
        <v>43</v>
      </c>
      <c r="K305" t="s">
        <v>20</v>
      </c>
      <c r="L305" t="s">
        <v>28</v>
      </c>
      <c r="M305" s="2">
        <v>0.3</v>
      </c>
      <c r="N305" t="s">
        <v>29</v>
      </c>
      <c r="O305" t="str">
        <f t="shared" si="9"/>
        <v>March</v>
      </c>
      <c r="P305" t="str">
        <f t="shared" si="8"/>
        <v>Adult</v>
      </c>
    </row>
    <row r="306" spans="1:16" x14ac:dyDescent="0.25">
      <c r="A306">
        <v>1305</v>
      </c>
      <c r="B306" s="1">
        <v>45134</v>
      </c>
      <c r="C306" t="s">
        <v>30</v>
      </c>
      <c r="D306" t="s">
        <v>77</v>
      </c>
      <c r="E306" s="3">
        <v>429</v>
      </c>
      <c r="F306" s="3">
        <v>1</v>
      </c>
      <c r="G306" s="3">
        <v>429</v>
      </c>
      <c r="H306" s="3">
        <v>36</v>
      </c>
      <c r="I306" t="s">
        <v>18</v>
      </c>
      <c r="J306" t="s">
        <v>60</v>
      </c>
      <c r="K306" t="s">
        <v>45</v>
      </c>
      <c r="L306" t="s">
        <v>47</v>
      </c>
      <c r="M306" s="2">
        <v>0.25</v>
      </c>
      <c r="N306" t="s">
        <v>29</v>
      </c>
      <c r="O306" t="str">
        <f t="shared" si="9"/>
        <v>July</v>
      </c>
      <c r="P306" t="str">
        <f t="shared" si="8"/>
        <v>Adult</v>
      </c>
    </row>
    <row r="307" spans="1:16" x14ac:dyDescent="0.25">
      <c r="A307">
        <v>1306</v>
      </c>
      <c r="B307" s="1">
        <v>45095</v>
      </c>
      <c r="C307" t="s">
        <v>49</v>
      </c>
      <c r="D307" t="s">
        <v>50</v>
      </c>
      <c r="E307" s="3">
        <v>574</v>
      </c>
      <c r="F307" s="3">
        <v>2</v>
      </c>
      <c r="G307" s="3">
        <v>1148</v>
      </c>
      <c r="H307" s="3">
        <v>58</v>
      </c>
      <c r="I307" t="s">
        <v>32</v>
      </c>
      <c r="J307" t="s">
        <v>43</v>
      </c>
      <c r="K307" t="s">
        <v>27</v>
      </c>
      <c r="L307" t="s">
        <v>34</v>
      </c>
      <c r="M307" s="2">
        <v>0.2</v>
      </c>
      <c r="N307" t="s">
        <v>29</v>
      </c>
      <c r="O307" t="str">
        <f t="shared" si="9"/>
        <v>June</v>
      </c>
      <c r="P307" t="str">
        <f t="shared" si="8"/>
        <v>Middle-Aged</v>
      </c>
    </row>
    <row r="308" spans="1:16" x14ac:dyDescent="0.25">
      <c r="A308">
        <v>1307</v>
      </c>
      <c r="B308" s="1">
        <v>45069</v>
      </c>
      <c r="C308" t="s">
        <v>49</v>
      </c>
      <c r="D308" t="s">
        <v>64</v>
      </c>
      <c r="E308" s="3">
        <v>89</v>
      </c>
      <c r="F308" s="3">
        <v>4</v>
      </c>
      <c r="G308" s="3">
        <v>356</v>
      </c>
      <c r="H308" s="3">
        <v>58</v>
      </c>
      <c r="I308" t="s">
        <v>18</v>
      </c>
      <c r="J308" t="s">
        <v>41</v>
      </c>
      <c r="K308" t="s">
        <v>37</v>
      </c>
      <c r="L308" t="s">
        <v>38</v>
      </c>
      <c r="M308" s="2">
        <v>0.2</v>
      </c>
      <c r="N308" t="s">
        <v>29</v>
      </c>
      <c r="O308" t="str">
        <f t="shared" si="9"/>
        <v>May</v>
      </c>
      <c r="P308" t="str">
        <f t="shared" si="8"/>
        <v>Middle-Aged</v>
      </c>
    </row>
    <row r="309" spans="1:16" x14ac:dyDescent="0.25">
      <c r="A309">
        <v>1308</v>
      </c>
      <c r="B309" s="1">
        <v>45044</v>
      </c>
      <c r="C309" t="s">
        <v>49</v>
      </c>
      <c r="D309" t="s">
        <v>57</v>
      </c>
      <c r="E309" s="3">
        <v>532</v>
      </c>
      <c r="F309" s="3">
        <v>5</v>
      </c>
      <c r="G309" s="3">
        <v>2660</v>
      </c>
      <c r="H309" s="3">
        <v>45</v>
      </c>
      <c r="I309" t="s">
        <v>32</v>
      </c>
      <c r="J309" t="s">
        <v>19</v>
      </c>
      <c r="K309" t="s">
        <v>45</v>
      </c>
      <c r="L309" t="s">
        <v>28</v>
      </c>
      <c r="M309" s="2">
        <v>0.25</v>
      </c>
      <c r="N309" t="s">
        <v>29</v>
      </c>
      <c r="O309" t="str">
        <f t="shared" si="9"/>
        <v>April</v>
      </c>
      <c r="P309" t="str">
        <f t="shared" si="8"/>
        <v>Adult</v>
      </c>
    </row>
    <row r="310" spans="1:16" x14ac:dyDescent="0.25">
      <c r="A310">
        <v>1309</v>
      </c>
      <c r="B310" s="1">
        <v>45140</v>
      </c>
      <c r="C310" t="s">
        <v>30</v>
      </c>
      <c r="D310" t="s">
        <v>44</v>
      </c>
      <c r="E310" s="3">
        <v>378</v>
      </c>
      <c r="F310" s="3">
        <v>3</v>
      </c>
      <c r="G310" s="3">
        <v>1134</v>
      </c>
      <c r="H310" s="3">
        <v>58</v>
      </c>
      <c r="I310" t="s">
        <v>32</v>
      </c>
      <c r="J310" t="s">
        <v>63</v>
      </c>
      <c r="K310" t="s">
        <v>27</v>
      </c>
      <c r="L310" t="s">
        <v>47</v>
      </c>
      <c r="M310" s="2">
        <v>0.05</v>
      </c>
      <c r="N310" t="s">
        <v>22</v>
      </c>
      <c r="O310" t="str">
        <f t="shared" si="9"/>
        <v>August</v>
      </c>
      <c r="P310" t="str">
        <f t="shared" si="8"/>
        <v>Middle-Aged</v>
      </c>
    </row>
    <row r="311" spans="1:16" x14ac:dyDescent="0.25">
      <c r="A311">
        <v>1310</v>
      </c>
      <c r="B311" s="1">
        <v>44977</v>
      </c>
      <c r="C311" t="s">
        <v>35</v>
      </c>
      <c r="D311" t="s">
        <v>70</v>
      </c>
      <c r="E311" s="3">
        <v>32</v>
      </c>
      <c r="F311" s="3">
        <v>3</v>
      </c>
      <c r="G311" s="3">
        <v>96</v>
      </c>
      <c r="H311" s="3">
        <v>26</v>
      </c>
      <c r="I311" t="s">
        <v>32</v>
      </c>
      <c r="J311" t="s">
        <v>43</v>
      </c>
      <c r="K311" t="s">
        <v>42</v>
      </c>
      <c r="L311" t="s">
        <v>21</v>
      </c>
      <c r="M311" s="2">
        <v>0.2</v>
      </c>
      <c r="N311" t="s">
        <v>22</v>
      </c>
      <c r="O311" t="str">
        <f t="shared" si="9"/>
        <v>February</v>
      </c>
      <c r="P311" t="str">
        <f t="shared" si="8"/>
        <v>Young Adult</v>
      </c>
    </row>
    <row r="312" spans="1:16" x14ac:dyDescent="0.25">
      <c r="A312">
        <v>1311</v>
      </c>
      <c r="B312" s="1">
        <v>44929</v>
      </c>
      <c r="C312" t="s">
        <v>16</v>
      </c>
      <c r="D312" t="s">
        <v>62</v>
      </c>
      <c r="E312" s="3">
        <v>832</v>
      </c>
      <c r="F312" s="3">
        <v>1</v>
      </c>
      <c r="G312" s="3">
        <v>832</v>
      </c>
      <c r="H312" s="3">
        <v>50</v>
      </c>
      <c r="I312" t="s">
        <v>32</v>
      </c>
      <c r="J312" t="s">
        <v>60</v>
      </c>
      <c r="K312" t="s">
        <v>27</v>
      </c>
      <c r="L312" t="s">
        <v>21</v>
      </c>
      <c r="M312" s="2">
        <v>0.2</v>
      </c>
      <c r="N312" t="s">
        <v>29</v>
      </c>
      <c r="O312" t="str">
        <f t="shared" si="9"/>
        <v>January</v>
      </c>
      <c r="P312" t="str">
        <f t="shared" si="8"/>
        <v>Middle-Aged</v>
      </c>
    </row>
    <row r="313" spans="1:16" x14ac:dyDescent="0.25">
      <c r="A313">
        <v>1312</v>
      </c>
      <c r="B313" s="1">
        <v>44964</v>
      </c>
      <c r="C313" t="s">
        <v>24</v>
      </c>
      <c r="D313" t="s">
        <v>25</v>
      </c>
      <c r="E313" s="3">
        <v>1005</v>
      </c>
      <c r="F313" s="3">
        <v>4</v>
      </c>
      <c r="G313" s="3">
        <v>4020</v>
      </c>
      <c r="H313" s="3">
        <v>30</v>
      </c>
      <c r="I313" t="s">
        <v>32</v>
      </c>
      <c r="J313" t="s">
        <v>58</v>
      </c>
      <c r="K313" t="s">
        <v>33</v>
      </c>
      <c r="L313" t="s">
        <v>28</v>
      </c>
      <c r="M313" s="2">
        <v>0.1</v>
      </c>
      <c r="N313" t="s">
        <v>22</v>
      </c>
      <c r="O313" t="str">
        <f t="shared" si="9"/>
        <v>February</v>
      </c>
      <c r="P313" t="str">
        <f t="shared" si="8"/>
        <v>Adult</v>
      </c>
    </row>
    <row r="314" spans="1:16" x14ac:dyDescent="0.25">
      <c r="A314">
        <v>1313</v>
      </c>
      <c r="B314" s="1">
        <v>44936</v>
      </c>
      <c r="C314" t="s">
        <v>30</v>
      </c>
      <c r="D314" t="s">
        <v>77</v>
      </c>
      <c r="E314" s="3">
        <v>906</v>
      </c>
      <c r="F314" s="3">
        <v>4</v>
      </c>
      <c r="G314" s="3">
        <v>3624</v>
      </c>
      <c r="H314" s="3">
        <v>26</v>
      </c>
      <c r="I314" t="s">
        <v>32</v>
      </c>
      <c r="J314" t="s">
        <v>48</v>
      </c>
      <c r="K314" t="s">
        <v>45</v>
      </c>
      <c r="L314" t="s">
        <v>34</v>
      </c>
      <c r="M314" s="2">
        <v>0.1</v>
      </c>
      <c r="N314" t="s">
        <v>29</v>
      </c>
      <c r="O314" t="str">
        <f t="shared" si="9"/>
        <v>January</v>
      </c>
      <c r="P314" t="str">
        <f t="shared" si="8"/>
        <v>Young Adult</v>
      </c>
    </row>
    <row r="315" spans="1:16" x14ac:dyDescent="0.25">
      <c r="A315">
        <v>1314</v>
      </c>
      <c r="B315" s="1">
        <v>44980</v>
      </c>
      <c r="C315" t="s">
        <v>49</v>
      </c>
      <c r="D315" t="s">
        <v>66</v>
      </c>
      <c r="E315" s="3">
        <v>287</v>
      </c>
      <c r="F315" s="3">
        <v>2</v>
      </c>
      <c r="G315" s="3">
        <v>574</v>
      </c>
      <c r="H315" s="3">
        <v>31</v>
      </c>
      <c r="I315" t="s">
        <v>32</v>
      </c>
      <c r="J315" t="s">
        <v>41</v>
      </c>
      <c r="K315" t="s">
        <v>45</v>
      </c>
      <c r="L315" t="s">
        <v>38</v>
      </c>
      <c r="M315" s="2">
        <v>0.2</v>
      </c>
      <c r="N315" t="s">
        <v>22</v>
      </c>
      <c r="O315" t="str">
        <f t="shared" si="9"/>
        <v>February</v>
      </c>
      <c r="P315" t="str">
        <f t="shared" si="8"/>
        <v>Adult</v>
      </c>
    </row>
    <row r="316" spans="1:16" x14ac:dyDescent="0.25">
      <c r="A316">
        <v>1315</v>
      </c>
      <c r="B316" s="1">
        <v>45296</v>
      </c>
      <c r="C316" t="s">
        <v>24</v>
      </c>
      <c r="D316" t="s">
        <v>76</v>
      </c>
      <c r="E316" s="3">
        <v>231</v>
      </c>
      <c r="F316" s="3">
        <v>4</v>
      </c>
      <c r="G316" s="3">
        <v>924</v>
      </c>
      <c r="H316" s="3">
        <v>34</v>
      </c>
      <c r="I316" t="s">
        <v>32</v>
      </c>
      <c r="J316" t="s">
        <v>58</v>
      </c>
      <c r="K316" t="s">
        <v>20</v>
      </c>
      <c r="L316" t="s">
        <v>34</v>
      </c>
      <c r="M316" s="2">
        <v>0.1</v>
      </c>
      <c r="N316" t="s">
        <v>22</v>
      </c>
      <c r="O316" t="str">
        <f t="shared" si="9"/>
        <v>January</v>
      </c>
      <c r="P316" t="str">
        <f t="shared" si="8"/>
        <v>Adult</v>
      </c>
    </row>
    <row r="317" spans="1:16" x14ac:dyDescent="0.25">
      <c r="A317">
        <v>1316</v>
      </c>
      <c r="B317" s="1">
        <v>45195</v>
      </c>
      <c r="C317" t="s">
        <v>39</v>
      </c>
      <c r="D317" t="s">
        <v>68</v>
      </c>
      <c r="E317" s="3">
        <v>638</v>
      </c>
      <c r="F317" s="3">
        <v>2</v>
      </c>
      <c r="G317" s="3">
        <v>1276</v>
      </c>
      <c r="H317" s="3">
        <v>22</v>
      </c>
      <c r="I317" t="s">
        <v>18</v>
      </c>
      <c r="J317" t="s">
        <v>19</v>
      </c>
      <c r="K317" t="s">
        <v>20</v>
      </c>
      <c r="L317" t="s">
        <v>47</v>
      </c>
      <c r="M317" s="2">
        <v>0.25</v>
      </c>
      <c r="N317" t="s">
        <v>22</v>
      </c>
      <c r="O317" t="str">
        <f t="shared" si="9"/>
        <v>September</v>
      </c>
      <c r="P317" t="str">
        <f t="shared" si="8"/>
        <v>Young Adult</v>
      </c>
    </row>
    <row r="318" spans="1:16" x14ac:dyDescent="0.25">
      <c r="A318">
        <v>1317</v>
      </c>
      <c r="B318" s="1">
        <v>45212</v>
      </c>
      <c r="C318" t="s">
        <v>35</v>
      </c>
      <c r="D318" t="s">
        <v>36</v>
      </c>
      <c r="E318" s="3">
        <v>219</v>
      </c>
      <c r="F318" s="3">
        <v>5</v>
      </c>
      <c r="G318" s="3">
        <v>1095</v>
      </c>
      <c r="H318" s="3">
        <v>53</v>
      </c>
      <c r="I318" t="s">
        <v>32</v>
      </c>
      <c r="J318" t="s">
        <v>55</v>
      </c>
      <c r="K318" t="s">
        <v>33</v>
      </c>
      <c r="L318" t="s">
        <v>47</v>
      </c>
      <c r="M318" s="2">
        <v>0.05</v>
      </c>
      <c r="N318" t="s">
        <v>29</v>
      </c>
      <c r="O318" t="str">
        <f t="shared" si="9"/>
        <v>October</v>
      </c>
      <c r="P318" t="str">
        <f t="shared" si="8"/>
        <v>Middle-Aged</v>
      </c>
    </row>
    <row r="319" spans="1:16" x14ac:dyDescent="0.25">
      <c r="A319">
        <v>1318</v>
      </c>
      <c r="B319" s="1">
        <v>45122</v>
      </c>
      <c r="C319" t="s">
        <v>39</v>
      </c>
      <c r="D319" t="s">
        <v>61</v>
      </c>
      <c r="E319" s="3">
        <v>161</v>
      </c>
      <c r="F319" s="3">
        <v>5</v>
      </c>
      <c r="G319" s="3">
        <v>805</v>
      </c>
      <c r="H319" s="3">
        <v>46</v>
      </c>
      <c r="I319" t="s">
        <v>18</v>
      </c>
      <c r="J319" t="s">
        <v>55</v>
      </c>
      <c r="K319" t="s">
        <v>33</v>
      </c>
      <c r="L319" t="s">
        <v>21</v>
      </c>
      <c r="M319" s="2">
        <v>0.25</v>
      </c>
      <c r="N319" t="s">
        <v>29</v>
      </c>
      <c r="O319" t="str">
        <f t="shared" si="9"/>
        <v>July</v>
      </c>
      <c r="P319" t="str">
        <f t="shared" si="8"/>
        <v>Adult</v>
      </c>
    </row>
    <row r="320" spans="1:16" x14ac:dyDescent="0.25">
      <c r="A320">
        <v>1319</v>
      </c>
      <c r="B320" s="1">
        <v>45263</v>
      </c>
      <c r="C320" t="s">
        <v>30</v>
      </c>
      <c r="D320" t="s">
        <v>31</v>
      </c>
      <c r="E320" s="3">
        <v>1358</v>
      </c>
      <c r="F320" s="3">
        <v>4</v>
      </c>
      <c r="G320" s="3">
        <v>5432</v>
      </c>
      <c r="H320" s="3">
        <v>20</v>
      </c>
      <c r="I320" t="s">
        <v>32</v>
      </c>
      <c r="J320" t="s">
        <v>43</v>
      </c>
      <c r="K320" t="s">
        <v>45</v>
      </c>
      <c r="L320" t="s">
        <v>21</v>
      </c>
      <c r="M320" s="2">
        <v>0.3</v>
      </c>
      <c r="N320" t="s">
        <v>22</v>
      </c>
      <c r="O320" t="str">
        <f t="shared" si="9"/>
        <v>December</v>
      </c>
      <c r="P320" t="str">
        <f t="shared" si="8"/>
        <v>Young Adult</v>
      </c>
    </row>
    <row r="321" spans="1:16" x14ac:dyDescent="0.25">
      <c r="A321">
        <v>1320</v>
      </c>
      <c r="B321" s="1">
        <v>45209</v>
      </c>
      <c r="C321" t="s">
        <v>52</v>
      </c>
      <c r="D321" t="s">
        <v>73</v>
      </c>
      <c r="E321" s="3">
        <v>1222</v>
      </c>
      <c r="F321" s="3">
        <v>3</v>
      </c>
      <c r="G321" s="3">
        <v>3666</v>
      </c>
      <c r="H321" s="3">
        <v>60</v>
      </c>
      <c r="I321" t="s">
        <v>18</v>
      </c>
      <c r="J321" t="s">
        <v>41</v>
      </c>
      <c r="K321" t="s">
        <v>45</v>
      </c>
      <c r="L321" t="s">
        <v>38</v>
      </c>
      <c r="M321" s="2">
        <v>0.25</v>
      </c>
      <c r="N321" t="s">
        <v>22</v>
      </c>
      <c r="O321" t="str">
        <f t="shared" si="9"/>
        <v>October</v>
      </c>
      <c r="P321" t="str">
        <f t="shared" si="8"/>
        <v>Middle-Aged</v>
      </c>
    </row>
    <row r="322" spans="1:16" x14ac:dyDescent="0.25">
      <c r="A322">
        <v>1321</v>
      </c>
      <c r="B322" s="1">
        <v>45218</v>
      </c>
      <c r="C322" t="s">
        <v>39</v>
      </c>
      <c r="D322" t="s">
        <v>78</v>
      </c>
      <c r="E322" s="3">
        <v>884</v>
      </c>
      <c r="F322" s="3">
        <v>3</v>
      </c>
      <c r="G322" s="3">
        <v>2652</v>
      </c>
      <c r="H322" s="3">
        <v>60</v>
      </c>
      <c r="I322" t="s">
        <v>32</v>
      </c>
      <c r="J322" t="s">
        <v>55</v>
      </c>
      <c r="K322" t="s">
        <v>42</v>
      </c>
      <c r="L322" t="s">
        <v>21</v>
      </c>
      <c r="M322" s="2">
        <v>0.2</v>
      </c>
      <c r="N322" t="s">
        <v>29</v>
      </c>
      <c r="O322" t="str">
        <f t="shared" si="9"/>
        <v>October</v>
      </c>
      <c r="P322" t="str">
        <f t="shared" ref="P322:P385" si="10">IF(H322&lt;13, "Child", IF(H322&lt;18, "Teen", IF(H322&lt;30, "Young Adult", IF(H322&lt;50, "Adult", IF(H322&lt;65, "Middle-Aged", "Senior")))))</f>
        <v>Middle-Aged</v>
      </c>
    </row>
    <row r="323" spans="1:16" x14ac:dyDescent="0.25">
      <c r="A323">
        <v>1322</v>
      </c>
      <c r="B323" s="1">
        <v>45043</v>
      </c>
      <c r="C323" t="s">
        <v>52</v>
      </c>
      <c r="D323" t="s">
        <v>82</v>
      </c>
      <c r="E323" s="3">
        <v>600</v>
      </c>
      <c r="F323" s="3">
        <v>1</v>
      </c>
      <c r="G323" s="3">
        <v>600</v>
      </c>
      <c r="H323" s="3">
        <v>54</v>
      </c>
      <c r="I323" t="s">
        <v>18</v>
      </c>
      <c r="J323" t="s">
        <v>60</v>
      </c>
      <c r="K323" t="s">
        <v>45</v>
      </c>
      <c r="L323" t="s">
        <v>47</v>
      </c>
      <c r="M323" s="2">
        <v>0.1</v>
      </c>
      <c r="N323" t="s">
        <v>22</v>
      </c>
      <c r="O323" t="str">
        <f t="shared" ref="O323:O386" si="11">TEXT(B323, "MMMM")</f>
        <v>April</v>
      </c>
      <c r="P323" t="str">
        <f t="shared" si="10"/>
        <v>Middle-Aged</v>
      </c>
    </row>
    <row r="324" spans="1:16" x14ac:dyDescent="0.25">
      <c r="A324">
        <v>1323</v>
      </c>
      <c r="B324" s="1">
        <v>44971</v>
      </c>
      <c r="C324" t="s">
        <v>30</v>
      </c>
      <c r="D324" t="s">
        <v>79</v>
      </c>
      <c r="E324" s="3">
        <v>1025</v>
      </c>
      <c r="F324" s="3">
        <v>2</v>
      </c>
      <c r="G324" s="3">
        <v>2050</v>
      </c>
      <c r="H324" s="3">
        <v>29</v>
      </c>
      <c r="I324" t="s">
        <v>32</v>
      </c>
      <c r="J324" t="s">
        <v>48</v>
      </c>
      <c r="K324" t="s">
        <v>45</v>
      </c>
      <c r="L324" t="s">
        <v>21</v>
      </c>
      <c r="M324" s="2">
        <v>0.2</v>
      </c>
      <c r="N324" t="s">
        <v>29</v>
      </c>
      <c r="O324" t="str">
        <f t="shared" si="11"/>
        <v>February</v>
      </c>
      <c r="P324" t="str">
        <f t="shared" si="10"/>
        <v>Young Adult</v>
      </c>
    </row>
    <row r="325" spans="1:16" x14ac:dyDescent="0.25">
      <c r="A325">
        <v>1324</v>
      </c>
      <c r="B325" s="1">
        <v>45187</v>
      </c>
      <c r="C325" t="s">
        <v>30</v>
      </c>
      <c r="D325" t="s">
        <v>69</v>
      </c>
      <c r="E325" s="3">
        <v>1257</v>
      </c>
      <c r="F325" s="3">
        <v>3</v>
      </c>
      <c r="G325" s="3">
        <v>3771</v>
      </c>
      <c r="H325" s="3">
        <v>48</v>
      </c>
      <c r="I325" t="s">
        <v>18</v>
      </c>
      <c r="J325" t="s">
        <v>43</v>
      </c>
      <c r="K325" t="s">
        <v>42</v>
      </c>
      <c r="L325" t="s">
        <v>21</v>
      </c>
      <c r="M325" s="2">
        <v>0.25</v>
      </c>
      <c r="N325" t="s">
        <v>22</v>
      </c>
      <c r="O325" t="str">
        <f t="shared" si="11"/>
        <v>September</v>
      </c>
      <c r="P325" t="str">
        <f t="shared" si="10"/>
        <v>Adult</v>
      </c>
    </row>
    <row r="326" spans="1:16" x14ac:dyDescent="0.25">
      <c r="A326">
        <v>1325</v>
      </c>
      <c r="B326" s="1">
        <v>44928</v>
      </c>
      <c r="C326" t="s">
        <v>30</v>
      </c>
      <c r="D326" t="s">
        <v>44</v>
      </c>
      <c r="E326" s="3">
        <v>92</v>
      </c>
      <c r="F326" s="3">
        <v>1</v>
      </c>
      <c r="G326" s="3">
        <v>92</v>
      </c>
      <c r="H326" s="3">
        <v>53</v>
      </c>
      <c r="I326" t="s">
        <v>18</v>
      </c>
      <c r="J326" t="s">
        <v>19</v>
      </c>
      <c r="K326" t="s">
        <v>37</v>
      </c>
      <c r="L326" t="s">
        <v>28</v>
      </c>
      <c r="M326" s="2">
        <v>0.2</v>
      </c>
      <c r="N326" t="s">
        <v>29</v>
      </c>
      <c r="O326" t="str">
        <f t="shared" si="11"/>
        <v>January</v>
      </c>
      <c r="P326" t="str">
        <f t="shared" si="10"/>
        <v>Middle-Aged</v>
      </c>
    </row>
    <row r="327" spans="1:16" x14ac:dyDescent="0.25">
      <c r="A327">
        <v>1326</v>
      </c>
      <c r="B327" s="1">
        <v>44929</v>
      </c>
      <c r="C327" t="s">
        <v>16</v>
      </c>
      <c r="D327" t="s">
        <v>71</v>
      </c>
      <c r="E327" s="3">
        <v>814</v>
      </c>
      <c r="F327" s="3">
        <v>2</v>
      </c>
      <c r="G327" s="3">
        <v>1628</v>
      </c>
      <c r="H327" s="3">
        <v>59</v>
      </c>
      <c r="I327" t="s">
        <v>32</v>
      </c>
      <c r="J327" t="s">
        <v>41</v>
      </c>
      <c r="K327" t="s">
        <v>27</v>
      </c>
      <c r="L327" t="s">
        <v>21</v>
      </c>
      <c r="M327" s="2">
        <v>0.15</v>
      </c>
      <c r="N327" t="s">
        <v>29</v>
      </c>
      <c r="O327" t="str">
        <f t="shared" si="11"/>
        <v>January</v>
      </c>
      <c r="P327" t="str">
        <f t="shared" si="10"/>
        <v>Middle-Aged</v>
      </c>
    </row>
    <row r="328" spans="1:16" x14ac:dyDescent="0.25">
      <c r="A328">
        <v>1327</v>
      </c>
      <c r="B328" s="1">
        <v>44936</v>
      </c>
      <c r="C328" t="s">
        <v>24</v>
      </c>
      <c r="D328" t="s">
        <v>25</v>
      </c>
      <c r="E328" s="3">
        <v>1071</v>
      </c>
      <c r="F328" s="3">
        <v>5</v>
      </c>
      <c r="G328" s="3">
        <v>5355</v>
      </c>
      <c r="H328" s="3">
        <v>24</v>
      </c>
      <c r="I328" t="s">
        <v>32</v>
      </c>
      <c r="J328" t="s">
        <v>48</v>
      </c>
      <c r="K328" t="s">
        <v>42</v>
      </c>
      <c r="L328" t="s">
        <v>38</v>
      </c>
      <c r="M328" s="2">
        <v>0.25</v>
      </c>
      <c r="N328" t="s">
        <v>22</v>
      </c>
      <c r="O328" t="str">
        <f t="shared" si="11"/>
        <v>January</v>
      </c>
      <c r="P328" t="str">
        <f t="shared" si="10"/>
        <v>Young Adult</v>
      </c>
    </row>
    <row r="329" spans="1:16" x14ac:dyDescent="0.25">
      <c r="A329">
        <v>1328</v>
      </c>
      <c r="B329" s="1">
        <v>45096</v>
      </c>
      <c r="C329" t="s">
        <v>52</v>
      </c>
      <c r="D329" t="s">
        <v>73</v>
      </c>
      <c r="E329" s="3">
        <v>128</v>
      </c>
      <c r="F329" s="3">
        <v>4</v>
      </c>
      <c r="G329" s="3">
        <v>512</v>
      </c>
      <c r="H329" s="3">
        <v>18</v>
      </c>
      <c r="I329" t="s">
        <v>32</v>
      </c>
      <c r="J329" t="s">
        <v>55</v>
      </c>
      <c r="K329" t="s">
        <v>45</v>
      </c>
      <c r="L329" t="s">
        <v>34</v>
      </c>
      <c r="M329" s="2">
        <v>0.15</v>
      </c>
      <c r="N329" t="s">
        <v>22</v>
      </c>
      <c r="O329" t="str">
        <f t="shared" si="11"/>
        <v>June</v>
      </c>
      <c r="P329" t="str">
        <f t="shared" si="10"/>
        <v>Young Adult</v>
      </c>
    </row>
    <row r="330" spans="1:16" x14ac:dyDescent="0.25">
      <c r="A330">
        <v>1329</v>
      </c>
      <c r="B330" s="1">
        <v>44969</v>
      </c>
      <c r="C330" t="s">
        <v>49</v>
      </c>
      <c r="D330" t="s">
        <v>66</v>
      </c>
      <c r="E330" s="3">
        <v>69</v>
      </c>
      <c r="F330" s="3">
        <v>4</v>
      </c>
      <c r="G330" s="3">
        <v>276</v>
      </c>
      <c r="H330" s="3">
        <v>27</v>
      </c>
      <c r="I330" t="s">
        <v>18</v>
      </c>
      <c r="J330" t="s">
        <v>51</v>
      </c>
      <c r="K330" t="s">
        <v>45</v>
      </c>
      <c r="L330" t="s">
        <v>21</v>
      </c>
      <c r="M330" s="2">
        <v>0.2</v>
      </c>
      <c r="N330" t="s">
        <v>22</v>
      </c>
      <c r="O330" t="str">
        <f t="shared" si="11"/>
        <v>February</v>
      </c>
      <c r="P330" t="str">
        <f t="shared" si="10"/>
        <v>Young Adult</v>
      </c>
    </row>
    <row r="331" spans="1:16" x14ac:dyDescent="0.25">
      <c r="A331">
        <v>1330</v>
      </c>
      <c r="B331" s="1">
        <v>45282</v>
      </c>
      <c r="C331" t="s">
        <v>30</v>
      </c>
      <c r="D331" t="s">
        <v>79</v>
      </c>
      <c r="E331" s="3">
        <v>637</v>
      </c>
      <c r="F331" s="3">
        <v>1</v>
      </c>
      <c r="G331" s="3">
        <v>637</v>
      </c>
      <c r="H331" s="3">
        <v>50</v>
      </c>
      <c r="I331" t="s">
        <v>18</v>
      </c>
      <c r="J331" t="s">
        <v>60</v>
      </c>
      <c r="K331" t="s">
        <v>20</v>
      </c>
      <c r="L331" t="s">
        <v>38</v>
      </c>
      <c r="M331" s="2">
        <v>0.3</v>
      </c>
      <c r="N331" t="s">
        <v>29</v>
      </c>
      <c r="O331" t="str">
        <f t="shared" si="11"/>
        <v>December</v>
      </c>
      <c r="P331" t="str">
        <f t="shared" si="10"/>
        <v>Middle-Aged</v>
      </c>
    </row>
    <row r="332" spans="1:16" x14ac:dyDescent="0.25">
      <c r="A332">
        <v>1331</v>
      </c>
      <c r="B332" s="1">
        <v>44987</v>
      </c>
      <c r="C332" t="s">
        <v>24</v>
      </c>
      <c r="D332" t="s">
        <v>84</v>
      </c>
      <c r="E332" s="3">
        <v>1327</v>
      </c>
      <c r="F332" s="3">
        <v>2</v>
      </c>
      <c r="G332" s="3">
        <v>2654</v>
      </c>
      <c r="H332" s="3">
        <v>31</v>
      </c>
      <c r="I332" t="s">
        <v>32</v>
      </c>
      <c r="J332" t="s">
        <v>19</v>
      </c>
      <c r="K332" t="s">
        <v>37</v>
      </c>
      <c r="L332" t="s">
        <v>28</v>
      </c>
      <c r="M332" s="2">
        <v>0.15</v>
      </c>
      <c r="N332" t="s">
        <v>29</v>
      </c>
      <c r="O332" t="str">
        <f t="shared" si="11"/>
        <v>March</v>
      </c>
      <c r="P332" t="str">
        <f t="shared" si="10"/>
        <v>Adult</v>
      </c>
    </row>
    <row r="333" spans="1:16" x14ac:dyDescent="0.25">
      <c r="A333">
        <v>1332</v>
      </c>
      <c r="B333" s="1">
        <v>45190</v>
      </c>
      <c r="C333" t="s">
        <v>49</v>
      </c>
      <c r="D333" t="s">
        <v>50</v>
      </c>
      <c r="E333" s="3">
        <v>229</v>
      </c>
      <c r="F333" s="3">
        <v>4</v>
      </c>
      <c r="G333" s="3">
        <v>916</v>
      </c>
      <c r="H333" s="3">
        <v>59</v>
      </c>
      <c r="I333" t="s">
        <v>18</v>
      </c>
      <c r="J333" t="s">
        <v>51</v>
      </c>
      <c r="K333" t="s">
        <v>33</v>
      </c>
      <c r="L333" t="s">
        <v>38</v>
      </c>
      <c r="M333" s="2">
        <v>0.15</v>
      </c>
      <c r="N333" t="s">
        <v>29</v>
      </c>
      <c r="O333" t="str">
        <f t="shared" si="11"/>
        <v>September</v>
      </c>
      <c r="P333" t="str">
        <f t="shared" si="10"/>
        <v>Middle-Aged</v>
      </c>
    </row>
    <row r="334" spans="1:16" x14ac:dyDescent="0.25">
      <c r="A334">
        <v>1333</v>
      </c>
      <c r="B334" s="1">
        <v>45000</v>
      </c>
      <c r="C334" t="s">
        <v>24</v>
      </c>
      <c r="D334" t="s">
        <v>25</v>
      </c>
      <c r="E334" s="3">
        <v>1154</v>
      </c>
      <c r="F334" s="3">
        <v>5</v>
      </c>
      <c r="G334" s="3">
        <v>5770</v>
      </c>
      <c r="H334" s="3">
        <v>20</v>
      </c>
      <c r="I334" t="s">
        <v>32</v>
      </c>
      <c r="J334" t="s">
        <v>41</v>
      </c>
      <c r="K334" t="s">
        <v>27</v>
      </c>
      <c r="L334" t="s">
        <v>21</v>
      </c>
      <c r="M334" s="2">
        <v>0.3</v>
      </c>
      <c r="N334" t="s">
        <v>29</v>
      </c>
      <c r="O334" t="str">
        <f t="shared" si="11"/>
        <v>March</v>
      </c>
      <c r="P334" t="str">
        <f t="shared" si="10"/>
        <v>Young Adult</v>
      </c>
    </row>
    <row r="335" spans="1:16" x14ac:dyDescent="0.25">
      <c r="A335">
        <v>1334</v>
      </c>
      <c r="B335" s="1">
        <v>45087</v>
      </c>
      <c r="C335" t="s">
        <v>39</v>
      </c>
      <c r="D335" t="s">
        <v>68</v>
      </c>
      <c r="E335" s="3">
        <v>1333</v>
      </c>
      <c r="F335" s="3">
        <v>3</v>
      </c>
      <c r="G335" s="3">
        <v>3999</v>
      </c>
      <c r="H335" s="3">
        <v>38</v>
      </c>
      <c r="I335" t="s">
        <v>32</v>
      </c>
      <c r="J335" t="s">
        <v>41</v>
      </c>
      <c r="K335" t="s">
        <v>27</v>
      </c>
      <c r="L335" t="s">
        <v>28</v>
      </c>
      <c r="M335" s="2">
        <v>0.2</v>
      </c>
      <c r="N335" t="s">
        <v>29</v>
      </c>
      <c r="O335" t="str">
        <f t="shared" si="11"/>
        <v>June</v>
      </c>
      <c r="P335" t="str">
        <f t="shared" si="10"/>
        <v>Adult</v>
      </c>
    </row>
    <row r="336" spans="1:16" x14ac:dyDescent="0.25">
      <c r="A336">
        <v>1335</v>
      </c>
      <c r="B336" s="1">
        <v>45233</v>
      </c>
      <c r="C336" t="s">
        <v>16</v>
      </c>
      <c r="D336" t="s">
        <v>71</v>
      </c>
      <c r="E336" s="3">
        <v>607</v>
      </c>
      <c r="F336" s="3">
        <v>3</v>
      </c>
      <c r="G336" s="3">
        <v>1821</v>
      </c>
      <c r="H336" s="3">
        <v>19</v>
      </c>
      <c r="I336" t="s">
        <v>18</v>
      </c>
      <c r="J336" t="s">
        <v>60</v>
      </c>
      <c r="K336" t="s">
        <v>37</v>
      </c>
      <c r="L336" t="s">
        <v>21</v>
      </c>
      <c r="M336" s="2">
        <v>0.05</v>
      </c>
      <c r="N336" t="s">
        <v>22</v>
      </c>
      <c r="O336" t="str">
        <f t="shared" si="11"/>
        <v>November</v>
      </c>
      <c r="P336" t="str">
        <f t="shared" si="10"/>
        <v>Young Adult</v>
      </c>
    </row>
    <row r="337" spans="1:16" x14ac:dyDescent="0.25">
      <c r="A337">
        <v>1336</v>
      </c>
      <c r="B337" s="1">
        <v>45126</v>
      </c>
      <c r="C337" t="s">
        <v>52</v>
      </c>
      <c r="D337" t="s">
        <v>73</v>
      </c>
      <c r="E337" s="3">
        <v>950</v>
      </c>
      <c r="F337" s="3">
        <v>3</v>
      </c>
      <c r="G337" s="3">
        <v>2850</v>
      </c>
      <c r="H337" s="3">
        <v>18</v>
      </c>
      <c r="I337" t="s">
        <v>18</v>
      </c>
      <c r="J337" t="s">
        <v>19</v>
      </c>
      <c r="K337" t="s">
        <v>20</v>
      </c>
      <c r="L337" t="s">
        <v>21</v>
      </c>
      <c r="M337" s="2">
        <v>0.1</v>
      </c>
      <c r="N337" t="s">
        <v>22</v>
      </c>
      <c r="O337" t="str">
        <f t="shared" si="11"/>
        <v>July</v>
      </c>
      <c r="P337" t="str">
        <f t="shared" si="10"/>
        <v>Young Adult</v>
      </c>
    </row>
    <row r="338" spans="1:16" x14ac:dyDescent="0.25">
      <c r="A338">
        <v>1337</v>
      </c>
      <c r="B338" s="1">
        <v>45177</v>
      </c>
      <c r="C338" t="s">
        <v>39</v>
      </c>
      <c r="D338" t="s">
        <v>68</v>
      </c>
      <c r="E338" s="3">
        <v>1303</v>
      </c>
      <c r="F338" s="3">
        <v>1</v>
      </c>
      <c r="G338" s="3">
        <v>1303</v>
      </c>
      <c r="H338" s="3">
        <v>48</v>
      </c>
      <c r="I338" t="s">
        <v>32</v>
      </c>
      <c r="J338" t="s">
        <v>43</v>
      </c>
      <c r="K338" t="s">
        <v>45</v>
      </c>
      <c r="L338" t="s">
        <v>28</v>
      </c>
      <c r="M338" s="2">
        <v>0.2</v>
      </c>
      <c r="N338" t="s">
        <v>29</v>
      </c>
      <c r="O338" t="str">
        <f t="shared" si="11"/>
        <v>September</v>
      </c>
      <c r="P338" t="str">
        <f t="shared" si="10"/>
        <v>Adult</v>
      </c>
    </row>
    <row r="339" spans="1:16" x14ac:dyDescent="0.25">
      <c r="A339">
        <v>1338</v>
      </c>
      <c r="B339" s="1">
        <v>45270</v>
      </c>
      <c r="C339" t="s">
        <v>35</v>
      </c>
      <c r="D339" t="s">
        <v>75</v>
      </c>
      <c r="E339" s="3">
        <v>1415</v>
      </c>
      <c r="F339" s="3">
        <v>1</v>
      </c>
      <c r="G339" s="3">
        <v>1415</v>
      </c>
      <c r="H339" s="3">
        <v>35</v>
      </c>
      <c r="I339" t="s">
        <v>18</v>
      </c>
      <c r="J339" t="s">
        <v>41</v>
      </c>
      <c r="K339" t="s">
        <v>20</v>
      </c>
      <c r="L339" t="s">
        <v>34</v>
      </c>
      <c r="M339" s="2">
        <v>0.05</v>
      </c>
      <c r="N339" t="s">
        <v>22</v>
      </c>
      <c r="O339" t="str">
        <f t="shared" si="11"/>
        <v>December</v>
      </c>
      <c r="P339" t="str">
        <f t="shared" si="10"/>
        <v>Adult</v>
      </c>
    </row>
    <row r="340" spans="1:16" x14ac:dyDescent="0.25">
      <c r="A340">
        <v>1339</v>
      </c>
      <c r="B340" s="1">
        <v>45004</v>
      </c>
      <c r="C340" t="s">
        <v>30</v>
      </c>
      <c r="D340" t="s">
        <v>69</v>
      </c>
      <c r="E340" s="3">
        <v>771</v>
      </c>
      <c r="F340" s="3">
        <v>3</v>
      </c>
      <c r="G340" s="3">
        <v>2313</v>
      </c>
      <c r="H340" s="3">
        <v>43</v>
      </c>
      <c r="I340" t="s">
        <v>32</v>
      </c>
      <c r="J340" t="s">
        <v>63</v>
      </c>
      <c r="K340" t="s">
        <v>20</v>
      </c>
      <c r="L340" t="s">
        <v>28</v>
      </c>
      <c r="M340" s="2">
        <v>0.15</v>
      </c>
      <c r="N340" t="s">
        <v>22</v>
      </c>
      <c r="O340" t="str">
        <f t="shared" si="11"/>
        <v>March</v>
      </c>
      <c r="P340" t="str">
        <f t="shared" si="10"/>
        <v>Adult</v>
      </c>
    </row>
    <row r="341" spans="1:16" x14ac:dyDescent="0.25">
      <c r="A341">
        <v>1340</v>
      </c>
      <c r="B341" s="1">
        <v>45136</v>
      </c>
      <c r="C341" t="s">
        <v>16</v>
      </c>
      <c r="D341" t="s">
        <v>59</v>
      </c>
      <c r="E341" s="3">
        <v>70</v>
      </c>
      <c r="F341" s="3">
        <v>2</v>
      </c>
      <c r="G341" s="3">
        <v>140</v>
      </c>
      <c r="H341" s="3">
        <v>19</v>
      </c>
      <c r="I341" t="s">
        <v>18</v>
      </c>
      <c r="J341" t="s">
        <v>41</v>
      </c>
      <c r="K341" t="s">
        <v>33</v>
      </c>
      <c r="L341" t="s">
        <v>21</v>
      </c>
      <c r="M341" s="2">
        <v>0.2</v>
      </c>
      <c r="N341" t="s">
        <v>29</v>
      </c>
      <c r="O341" t="str">
        <f t="shared" si="11"/>
        <v>July</v>
      </c>
      <c r="P341" t="str">
        <f t="shared" si="10"/>
        <v>Young Adult</v>
      </c>
    </row>
    <row r="342" spans="1:16" x14ac:dyDescent="0.25">
      <c r="A342">
        <v>1341</v>
      </c>
      <c r="B342" s="1">
        <v>45031</v>
      </c>
      <c r="C342" t="s">
        <v>16</v>
      </c>
      <c r="D342" t="s">
        <v>62</v>
      </c>
      <c r="E342" s="3">
        <v>607</v>
      </c>
      <c r="F342" s="3">
        <v>2</v>
      </c>
      <c r="G342" s="3">
        <v>1214</v>
      </c>
      <c r="H342" s="3">
        <v>20</v>
      </c>
      <c r="I342" t="s">
        <v>18</v>
      </c>
      <c r="J342" t="s">
        <v>19</v>
      </c>
      <c r="K342" t="s">
        <v>45</v>
      </c>
      <c r="L342" t="s">
        <v>28</v>
      </c>
      <c r="M342" s="2">
        <v>0.05</v>
      </c>
      <c r="N342" t="s">
        <v>22</v>
      </c>
      <c r="O342" t="str">
        <f t="shared" si="11"/>
        <v>April</v>
      </c>
      <c r="P342" t="str">
        <f t="shared" si="10"/>
        <v>Young Adult</v>
      </c>
    </row>
    <row r="343" spans="1:16" x14ac:dyDescent="0.25">
      <c r="A343">
        <v>1342</v>
      </c>
      <c r="B343" s="1">
        <v>44938</v>
      </c>
      <c r="C343" t="s">
        <v>16</v>
      </c>
      <c r="D343" t="s">
        <v>62</v>
      </c>
      <c r="E343" s="3">
        <v>171</v>
      </c>
      <c r="F343" s="3">
        <v>4</v>
      </c>
      <c r="G343" s="3">
        <v>684</v>
      </c>
      <c r="H343" s="3">
        <v>28</v>
      </c>
      <c r="I343" t="s">
        <v>18</v>
      </c>
      <c r="J343" t="s">
        <v>51</v>
      </c>
      <c r="K343" t="s">
        <v>37</v>
      </c>
      <c r="L343" t="s">
        <v>38</v>
      </c>
      <c r="M343" s="2">
        <v>0.2</v>
      </c>
      <c r="N343" t="s">
        <v>22</v>
      </c>
      <c r="O343" t="str">
        <f t="shared" si="11"/>
        <v>January</v>
      </c>
      <c r="P343" t="str">
        <f t="shared" si="10"/>
        <v>Young Adult</v>
      </c>
    </row>
    <row r="344" spans="1:16" x14ac:dyDescent="0.25">
      <c r="A344">
        <v>1343</v>
      </c>
      <c r="B344" s="1">
        <v>45127</v>
      </c>
      <c r="C344" t="s">
        <v>30</v>
      </c>
      <c r="D344" t="s">
        <v>79</v>
      </c>
      <c r="E344" s="3">
        <v>881</v>
      </c>
      <c r="F344" s="3">
        <v>4</v>
      </c>
      <c r="G344" s="3">
        <v>3524</v>
      </c>
      <c r="H344" s="3">
        <v>19</v>
      </c>
      <c r="I344" t="s">
        <v>32</v>
      </c>
      <c r="J344" t="s">
        <v>60</v>
      </c>
      <c r="K344" t="s">
        <v>33</v>
      </c>
      <c r="L344" t="s">
        <v>34</v>
      </c>
      <c r="M344" s="2">
        <v>0.05</v>
      </c>
      <c r="N344" t="s">
        <v>22</v>
      </c>
      <c r="O344" t="str">
        <f t="shared" si="11"/>
        <v>July</v>
      </c>
      <c r="P344" t="str">
        <f t="shared" si="10"/>
        <v>Young Adult</v>
      </c>
    </row>
    <row r="345" spans="1:16" x14ac:dyDescent="0.25">
      <c r="A345">
        <v>1344</v>
      </c>
      <c r="B345" s="1">
        <v>45269</v>
      </c>
      <c r="C345" t="s">
        <v>16</v>
      </c>
      <c r="D345" t="s">
        <v>62</v>
      </c>
      <c r="E345" s="3">
        <v>1012</v>
      </c>
      <c r="F345" s="3">
        <v>5</v>
      </c>
      <c r="G345" s="3">
        <v>5060</v>
      </c>
      <c r="H345" s="3">
        <v>37</v>
      </c>
      <c r="I345" t="s">
        <v>18</v>
      </c>
      <c r="J345" t="s">
        <v>60</v>
      </c>
      <c r="K345" t="s">
        <v>20</v>
      </c>
      <c r="L345" t="s">
        <v>38</v>
      </c>
      <c r="M345" s="2">
        <v>0.3</v>
      </c>
      <c r="N345" t="s">
        <v>22</v>
      </c>
      <c r="O345" t="str">
        <f t="shared" si="11"/>
        <v>December</v>
      </c>
      <c r="P345" t="str">
        <f t="shared" si="10"/>
        <v>Adult</v>
      </c>
    </row>
    <row r="346" spans="1:16" x14ac:dyDescent="0.25">
      <c r="A346">
        <v>1345</v>
      </c>
      <c r="B346" s="1">
        <v>45206</v>
      </c>
      <c r="C346" t="s">
        <v>24</v>
      </c>
      <c r="D346" t="s">
        <v>80</v>
      </c>
      <c r="E346" s="3">
        <v>775</v>
      </c>
      <c r="F346" s="3">
        <v>3</v>
      </c>
      <c r="G346" s="3">
        <v>2325</v>
      </c>
      <c r="H346" s="3">
        <v>36</v>
      </c>
      <c r="I346" t="s">
        <v>18</v>
      </c>
      <c r="J346" t="s">
        <v>51</v>
      </c>
      <c r="K346" t="s">
        <v>45</v>
      </c>
      <c r="L346" t="s">
        <v>47</v>
      </c>
      <c r="M346" s="2">
        <v>0.3</v>
      </c>
      <c r="N346" t="s">
        <v>22</v>
      </c>
      <c r="O346" t="str">
        <f t="shared" si="11"/>
        <v>October</v>
      </c>
      <c r="P346" t="str">
        <f t="shared" si="10"/>
        <v>Adult</v>
      </c>
    </row>
    <row r="347" spans="1:16" x14ac:dyDescent="0.25">
      <c r="A347">
        <v>1346</v>
      </c>
      <c r="B347" s="1">
        <v>45112</v>
      </c>
      <c r="C347" t="s">
        <v>52</v>
      </c>
      <c r="D347" t="s">
        <v>73</v>
      </c>
      <c r="E347" s="3">
        <v>329</v>
      </c>
      <c r="F347" s="3">
        <v>1</v>
      </c>
      <c r="G347" s="3">
        <v>329</v>
      </c>
      <c r="H347" s="3">
        <v>53</v>
      </c>
      <c r="I347" t="s">
        <v>32</v>
      </c>
      <c r="J347" t="s">
        <v>51</v>
      </c>
      <c r="K347" t="s">
        <v>20</v>
      </c>
      <c r="L347" t="s">
        <v>47</v>
      </c>
      <c r="M347" s="2">
        <v>0.3</v>
      </c>
      <c r="N347" t="s">
        <v>22</v>
      </c>
      <c r="O347" t="str">
        <f t="shared" si="11"/>
        <v>July</v>
      </c>
      <c r="P347" t="str">
        <f t="shared" si="10"/>
        <v>Middle-Aged</v>
      </c>
    </row>
    <row r="348" spans="1:16" x14ac:dyDescent="0.25">
      <c r="A348">
        <v>1347</v>
      </c>
      <c r="B348" s="1">
        <v>45017</v>
      </c>
      <c r="C348" t="s">
        <v>16</v>
      </c>
      <c r="D348" t="s">
        <v>56</v>
      </c>
      <c r="E348" s="3">
        <v>374</v>
      </c>
      <c r="F348" s="3">
        <v>3</v>
      </c>
      <c r="G348" s="3">
        <v>1122</v>
      </c>
      <c r="H348" s="3">
        <v>28</v>
      </c>
      <c r="I348" t="s">
        <v>32</v>
      </c>
      <c r="J348" t="s">
        <v>55</v>
      </c>
      <c r="K348" t="s">
        <v>27</v>
      </c>
      <c r="L348" t="s">
        <v>34</v>
      </c>
      <c r="M348" s="2">
        <v>0.05</v>
      </c>
      <c r="N348" t="s">
        <v>29</v>
      </c>
      <c r="O348" t="str">
        <f t="shared" si="11"/>
        <v>April</v>
      </c>
      <c r="P348" t="str">
        <f t="shared" si="10"/>
        <v>Young Adult</v>
      </c>
    </row>
    <row r="349" spans="1:16" x14ac:dyDescent="0.25">
      <c r="A349">
        <v>1348</v>
      </c>
      <c r="B349" s="1">
        <v>45229</v>
      </c>
      <c r="C349" t="s">
        <v>24</v>
      </c>
      <c r="D349" t="s">
        <v>25</v>
      </c>
      <c r="E349" s="3">
        <v>441</v>
      </c>
      <c r="F349" s="3">
        <v>2</v>
      </c>
      <c r="G349" s="3">
        <v>882</v>
      </c>
      <c r="H349" s="3">
        <v>49</v>
      </c>
      <c r="I349" t="s">
        <v>32</v>
      </c>
      <c r="J349" t="s">
        <v>48</v>
      </c>
      <c r="K349" t="s">
        <v>27</v>
      </c>
      <c r="L349" t="s">
        <v>47</v>
      </c>
      <c r="M349" s="2">
        <v>0.15</v>
      </c>
      <c r="N349" t="s">
        <v>29</v>
      </c>
      <c r="O349" t="str">
        <f t="shared" si="11"/>
        <v>October</v>
      </c>
      <c r="P349" t="str">
        <f t="shared" si="10"/>
        <v>Adult</v>
      </c>
    </row>
    <row r="350" spans="1:16" x14ac:dyDescent="0.25">
      <c r="A350">
        <v>1349</v>
      </c>
      <c r="B350" s="1">
        <v>45200</v>
      </c>
      <c r="C350" t="s">
        <v>30</v>
      </c>
      <c r="D350" t="s">
        <v>44</v>
      </c>
      <c r="E350" s="3">
        <v>991</v>
      </c>
      <c r="F350" s="3">
        <v>4</v>
      </c>
      <c r="G350" s="3">
        <v>3964</v>
      </c>
      <c r="H350" s="3">
        <v>39</v>
      </c>
      <c r="I350" t="s">
        <v>18</v>
      </c>
      <c r="J350" t="s">
        <v>48</v>
      </c>
      <c r="K350" t="s">
        <v>37</v>
      </c>
      <c r="L350" t="s">
        <v>38</v>
      </c>
      <c r="M350" s="2">
        <v>0.15</v>
      </c>
      <c r="N350" t="s">
        <v>22</v>
      </c>
      <c r="O350" t="str">
        <f t="shared" si="11"/>
        <v>October</v>
      </c>
      <c r="P350" t="str">
        <f t="shared" si="10"/>
        <v>Adult</v>
      </c>
    </row>
    <row r="351" spans="1:16" x14ac:dyDescent="0.25">
      <c r="A351">
        <v>1350</v>
      </c>
      <c r="B351" s="1">
        <v>45214</v>
      </c>
      <c r="C351" t="s">
        <v>30</v>
      </c>
      <c r="D351" t="s">
        <v>77</v>
      </c>
      <c r="E351" s="3">
        <v>1175</v>
      </c>
      <c r="F351" s="3">
        <v>5</v>
      </c>
      <c r="G351" s="3">
        <v>5875</v>
      </c>
      <c r="H351" s="3">
        <v>42</v>
      </c>
      <c r="I351" t="s">
        <v>32</v>
      </c>
      <c r="J351" t="s">
        <v>48</v>
      </c>
      <c r="K351" t="s">
        <v>33</v>
      </c>
      <c r="L351" t="s">
        <v>47</v>
      </c>
      <c r="M351" s="2">
        <v>0.25</v>
      </c>
      <c r="N351" t="s">
        <v>29</v>
      </c>
      <c r="O351" t="str">
        <f t="shared" si="11"/>
        <v>October</v>
      </c>
      <c r="P351" t="str">
        <f t="shared" si="10"/>
        <v>Adult</v>
      </c>
    </row>
    <row r="352" spans="1:16" x14ac:dyDescent="0.25">
      <c r="A352">
        <v>1351</v>
      </c>
      <c r="B352" s="1">
        <v>44934</v>
      </c>
      <c r="C352" t="s">
        <v>35</v>
      </c>
      <c r="D352" t="s">
        <v>70</v>
      </c>
      <c r="E352" s="3">
        <v>662</v>
      </c>
      <c r="F352" s="3">
        <v>3</v>
      </c>
      <c r="G352" s="3">
        <v>1986</v>
      </c>
      <c r="H352" s="3">
        <v>35</v>
      </c>
      <c r="I352" t="s">
        <v>32</v>
      </c>
      <c r="J352" t="s">
        <v>63</v>
      </c>
      <c r="K352" t="s">
        <v>27</v>
      </c>
      <c r="L352" t="s">
        <v>38</v>
      </c>
      <c r="M352" s="2">
        <v>0.15</v>
      </c>
      <c r="N352" t="s">
        <v>22</v>
      </c>
      <c r="O352" t="str">
        <f t="shared" si="11"/>
        <v>January</v>
      </c>
      <c r="P352" t="str">
        <f t="shared" si="10"/>
        <v>Adult</v>
      </c>
    </row>
    <row r="353" spans="1:16" x14ac:dyDescent="0.25">
      <c r="A353">
        <v>1352</v>
      </c>
      <c r="B353" s="1">
        <v>45047</v>
      </c>
      <c r="C353" t="s">
        <v>35</v>
      </c>
      <c r="D353" t="s">
        <v>36</v>
      </c>
      <c r="E353" s="3">
        <v>989</v>
      </c>
      <c r="F353" s="3">
        <v>4</v>
      </c>
      <c r="G353" s="3">
        <v>3956</v>
      </c>
      <c r="H353" s="3">
        <v>38</v>
      </c>
      <c r="I353" t="s">
        <v>32</v>
      </c>
      <c r="J353" t="s">
        <v>26</v>
      </c>
      <c r="K353" t="s">
        <v>20</v>
      </c>
      <c r="L353" t="s">
        <v>28</v>
      </c>
      <c r="M353" s="2">
        <v>0.05</v>
      </c>
      <c r="N353" t="s">
        <v>22</v>
      </c>
      <c r="O353" t="str">
        <f t="shared" si="11"/>
        <v>May</v>
      </c>
      <c r="P353" t="str">
        <f t="shared" si="10"/>
        <v>Adult</v>
      </c>
    </row>
    <row r="354" spans="1:16" x14ac:dyDescent="0.25">
      <c r="A354">
        <v>1353</v>
      </c>
      <c r="B354" s="1">
        <v>45064</v>
      </c>
      <c r="C354" t="s">
        <v>35</v>
      </c>
      <c r="D354" t="s">
        <v>74</v>
      </c>
      <c r="E354" s="3">
        <v>425</v>
      </c>
      <c r="F354" s="3">
        <v>2</v>
      </c>
      <c r="G354" s="3">
        <v>850</v>
      </c>
      <c r="H354" s="3">
        <v>19</v>
      </c>
      <c r="I354" t="s">
        <v>18</v>
      </c>
      <c r="J354" t="s">
        <v>58</v>
      </c>
      <c r="K354" t="s">
        <v>33</v>
      </c>
      <c r="L354" t="s">
        <v>47</v>
      </c>
      <c r="M354" s="2">
        <v>0.05</v>
      </c>
      <c r="N354" t="s">
        <v>22</v>
      </c>
      <c r="O354" t="str">
        <f t="shared" si="11"/>
        <v>May</v>
      </c>
      <c r="P354" t="str">
        <f t="shared" si="10"/>
        <v>Young Adult</v>
      </c>
    </row>
    <row r="355" spans="1:16" x14ac:dyDescent="0.25">
      <c r="A355">
        <v>1354</v>
      </c>
      <c r="B355" s="1">
        <v>45282</v>
      </c>
      <c r="C355" t="s">
        <v>16</v>
      </c>
      <c r="D355" t="s">
        <v>71</v>
      </c>
      <c r="E355" s="3">
        <v>399</v>
      </c>
      <c r="F355" s="3">
        <v>3</v>
      </c>
      <c r="G355" s="3">
        <v>1197</v>
      </c>
      <c r="H355" s="3">
        <v>39</v>
      </c>
      <c r="I355" t="s">
        <v>18</v>
      </c>
      <c r="J355" t="s">
        <v>51</v>
      </c>
      <c r="K355" t="s">
        <v>33</v>
      </c>
      <c r="L355" t="s">
        <v>34</v>
      </c>
      <c r="M355" s="2">
        <v>0.2</v>
      </c>
      <c r="N355" t="s">
        <v>22</v>
      </c>
      <c r="O355" t="str">
        <f t="shared" si="11"/>
        <v>December</v>
      </c>
      <c r="P355" t="str">
        <f t="shared" si="10"/>
        <v>Adult</v>
      </c>
    </row>
    <row r="356" spans="1:16" x14ac:dyDescent="0.25">
      <c r="A356">
        <v>1355</v>
      </c>
      <c r="B356" s="1">
        <v>44997</v>
      </c>
      <c r="C356" t="s">
        <v>35</v>
      </c>
      <c r="D356" t="s">
        <v>75</v>
      </c>
      <c r="E356" s="3">
        <v>967</v>
      </c>
      <c r="F356" s="3">
        <v>2</v>
      </c>
      <c r="G356" s="3">
        <v>1934</v>
      </c>
      <c r="H356" s="3">
        <v>45</v>
      </c>
      <c r="I356" t="s">
        <v>32</v>
      </c>
      <c r="J356" t="s">
        <v>60</v>
      </c>
      <c r="K356" t="s">
        <v>42</v>
      </c>
      <c r="L356" t="s">
        <v>28</v>
      </c>
      <c r="M356" s="2">
        <v>0.3</v>
      </c>
      <c r="N356" t="s">
        <v>29</v>
      </c>
      <c r="O356" t="str">
        <f t="shared" si="11"/>
        <v>March</v>
      </c>
      <c r="P356" t="str">
        <f t="shared" si="10"/>
        <v>Adult</v>
      </c>
    </row>
    <row r="357" spans="1:16" x14ac:dyDescent="0.25">
      <c r="A357">
        <v>1356</v>
      </c>
      <c r="B357" s="1">
        <v>44943</v>
      </c>
      <c r="C357" t="s">
        <v>24</v>
      </c>
      <c r="D357" t="s">
        <v>80</v>
      </c>
      <c r="E357" s="3">
        <v>1071</v>
      </c>
      <c r="F357" s="3">
        <v>3</v>
      </c>
      <c r="G357" s="3">
        <v>3213</v>
      </c>
      <c r="H357" s="3">
        <v>53</v>
      </c>
      <c r="I357" t="s">
        <v>18</v>
      </c>
      <c r="J357" t="s">
        <v>51</v>
      </c>
      <c r="K357" t="s">
        <v>45</v>
      </c>
      <c r="L357" t="s">
        <v>38</v>
      </c>
      <c r="M357" s="2">
        <v>0.05</v>
      </c>
      <c r="N357" t="s">
        <v>29</v>
      </c>
      <c r="O357" t="str">
        <f t="shared" si="11"/>
        <v>January</v>
      </c>
      <c r="P357" t="str">
        <f t="shared" si="10"/>
        <v>Middle-Aged</v>
      </c>
    </row>
    <row r="358" spans="1:16" x14ac:dyDescent="0.25">
      <c r="A358">
        <v>1357</v>
      </c>
      <c r="B358" s="1">
        <v>44933</v>
      </c>
      <c r="C358" t="s">
        <v>52</v>
      </c>
      <c r="D358" t="s">
        <v>65</v>
      </c>
      <c r="E358" s="3">
        <v>444</v>
      </c>
      <c r="F358" s="3">
        <v>3</v>
      </c>
      <c r="G358" s="3">
        <v>1332</v>
      </c>
      <c r="H358" s="3">
        <v>60</v>
      </c>
      <c r="I358" t="s">
        <v>32</v>
      </c>
      <c r="J358" t="s">
        <v>60</v>
      </c>
      <c r="K358" t="s">
        <v>37</v>
      </c>
      <c r="L358" t="s">
        <v>28</v>
      </c>
      <c r="M358" s="2">
        <v>0.3</v>
      </c>
      <c r="N358" t="s">
        <v>29</v>
      </c>
      <c r="O358" t="str">
        <f t="shared" si="11"/>
        <v>January</v>
      </c>
      <c r="P358" t="str">
        <f t="shared" si="10"/>
        <v>Middle-Aged</v>
      </c>
    </row>
    <row r="359" spans="1:16" x14ac:dyDescent="0.25">
      <c r="A359">
        <v>1358</v>
      </c>
      <c r="B359" s="1">
        <v>44992</v>
      </c>
      <c r="C359" t="s">
        <v>30</v>
      </c>
      <c r="D359" t="s">
        <v>77</v>
      </c>
      <c r="E359" s="3">
        <v>855</v>
      </c>
      <c r="F359" s="3">
        <v>1</v>
      </c>
      <c r="G359" s="3">
        <v>855</v>
      </c>
      <c r="H359" s="3">
        <v>41</v>
      </c>
      <c r="I359" t="s">
        <v>32</v>
      </c>
      <c r="J359" t="s">
        <v>43</v>
      </c>
      <c r="K359" t="s">
        <v>33</v>
      </c>
      <c r="L359" t="s">
        <v>28</v>
      </c>
      <c r="M359" s="2">
        <v>0.05</v>
      </c>
      <c r="N359" t="s">
        <v>22</v>
      </c>
      <c r="O359" t="str">
        <f t="shared" si="11"/>
        <v>March</v>
      </c>
      <c r="P359" t="str">
        <f t="shared" si="10"/>
        <v>Adult</v>
      </c>
    </row>
    <row r="360" spans="1:16" x14ac:dyDescent="0.25">
      <c r="A360">
        <v>1359</v>
      </c>
      <c r="B360" s="1">
        <v>45126</v>
      </c>
      <c r="C360" t="s">
        <v>30</v>
      </c>
      <c r="D360" t="s">
        <v>77</v>
      </c>
      <c r="E360" s="3">
        <v>924</v>
      </c>
      <c r="F360" s="3">
        <v>1</v>
      </c>
      <c r="G360" s="3">
        <v>924</v>
      </c>
      <c r="H360" s="3">
        <v>49</v>
      </c>
      <c r="I360" t="s">
        <v>18</v>
      </c>
      <c r="J360" t="s">
        <v>51</v>
      </c>
      <c r="K360" t="s">
        <v>27</v>
      </c>
      <c r="L360" t="s">
        <v>34</v>
      </c>
      <c r="M360" s="2">
        <v>0.25</v>
      </c>
      <c r="N360" t="s">
        <v>29</v>
      </c>
      <c r="O360" t="str">
        <f t="shared" si="11"/>
        <v>July</v>
      </c>
      <c r="P360" t="str">
        <f t="shared" si="10"/>
        <v>Adult</v>
      </c>
    </row>
    <row r="361" spans="1:16" x14ac:dyDescent="0.25">
      <c r="A361">
        <v>1360</v>
      </c>
      <c r="B361" s="1">
        <v>44946</v>
      </c>
      <c r="C361" t="s">
        <v>16</v>
      </c>
      <c r="D361" t="s">
        <v>83</v>
      </c>
      <c r="E361" s="3">
        <v>922</v>
      </c>
      <c r="F361" s="3">
        <v>5</v>
      </c>
      <c r="G361" s="3">
        <v>4610</v>
      </c>
      <c r="H361" s="3">
        <v>37</v>
      </c>
      <c r="I361" t="s">
        <v>18</v>
      </c>
      <c r="J361" t="s">
        <v>55</v>
      </c>
      <c r="K361" t="s">
        <v>37</v>
      </c>
      <c r="L361" t="s">
        <v>34</v>
      </c>
      <c r="M361" s="2">
        <v>0.3</v>
      </c>
      <c r="N361" t="s">
        <v>29</v>
      </c>
      <c r="O361" t="str">
        <f t="shared" si="11"/>
        <v>January</v>
      </c>
      <c r="P361" t="str">
        <f t="shared" si="10"/>
        <v>Adult</v>
      </c>
    </row>
    <row r="362" spans="1:16" x14ac:dyDescent="0.25">
      <c r="A362">
        <v>1361</v>
      </c>
      <c r="B362" s="1">
        <v>45082</v>
      </c>
      <c r="C362" t="s">
        <v>24</v>
      </c>
      <c r="D362" t="s">
        <v>84</v>
      </c>
      <c r="E362" s="3">
        <v>225</v>
      </c>
      <c r="F362" s="3">
        <v>3</v>
      </c>
      <c r="G362" s="3">
        <v>675</v>
      </c>
      <c r="H362" s="3">
        <v>30</v>
      </c>
      <c r="I362" t="s">
        <v>18</v>
      </c>
      <c r="J362" t="s">
        <v>48</v>
      </c>
      <c r="K362" t="s">
        <v>27</v>
      </c>
      <c r="L362" t="s">
        <v>47</v>
      </c>
      <c r="M362" s="2">
        <v>0.1</v>
      </c>
      <c r="N362" t="s">
        <v>29</v>
      </c>
      <c r="O362" t="str">
        <f t="shared" si="11"/>
        <v>June</v>
      </c>
      <c r="P362" t="str">
        <f t="shared" si="10"/>
        <v>Adult</v>
      </c>
    </row>
    <row r="363" spans="1:16" x14ac:dyDescent="0.25">
      <c r="A363">
        <v>1362</v>
      </c>
      <c r="B363" s="1">
        <v>45099</v>
      </c>
      <c r="C363" t="s">
        <v>52</v>
      </c>
      <c r="D363" t="s">
        <v>53</v>
      </c>
      <c r="E363" s="3">
        <v>795</v>
      </c>
      <c r="F363" s="3">
        <v>5</v>
      </c>
      <c r="G363" s="3">
        <v>3975</v>
      </c>
      <c r="H363" s="3">
        <v>25</v>
      </c>
      <c r="I363" t="s">
        <v>32</v>
      </c>
      <c r="J363" t="s">
        <v>26</v>
      </c>
      <c r="K363" t="s">
        <v>20</v>
      </c>
      <c r="L363" t="s">
        <v>34</v>
      </c>
      <c r="M363" s="2">
        <v>0.3</v>
      </c>
      <c r="N363" t="s">
        <v>29</v>
      </c>
      <c r="O363" t="str">
        <f t="shared" si="11"/>
        <v>June</v>
      </c>
      <c r="P363" t="str">
        <f t="shared" si="10"/>
        <v>Young Adult</v>
      </c>
    </row>
    <row r="364" spans="1:16" x14ac:dyDescent="0.25">
      <c r="A364">
        <v>1363</v>
      </c>
      <c r="B364" s="1">
        <v>44929</v>
      </c>
      <c r="C364" t="s">
        <v>52</v>
      </c>
      <c r="D364" t="s">
        <v>65</v>
      </c>
      <c r="E364" s="3">
        <v>1017</v>
      </c>
      <c r="F364" s="3">
        <v>5</v>
      </c>
      <c r="G364" s="3">
        <v>5085</v>
      </c>
      <c r="H364" s="3">
        <v>36</v>
      </c>
      <c r="I364" t="s">
        <v>18</v>
      </c>
      <c r="J364" t="s">
        <v>26</v>
      </c>
      <c r="K364" t="s">
        <v>37</v>
      </c>
      <c r="L364" t="s">
        <v>38</v>
      </c>
      <c r="M364" s="2">
        <v>0.1</v>
      </c>
      <c r="N364" t="s">
        <v>22</v>
      </c>
      <c r="O364" t="str">
        <f t="shared" si="11"/>
        <v>January</v>
      </c>
      <c r="P364" t="str">
        <f t="shared" si="10"/>
        <v>Adult</v>
      </c>
    </row>
    <row r="365" spans="1:16" x14ac:dyDescent="0.25">
      <c r="A365">
        <v>1364</v>
      </c>
      <c r="B365" s="1">
        <v>45172</v>
      </c>
      <c r="C365" t="s">
        <v>24</v>
      </c>
      <c r="D365" t="s">
        <v>80</v>
      </c>
      <c r="E365" s="3">
        <v>176</v>
      </c>
      <c r="F365" s="3">
        <v>1</v>
      </c>
      <c r="G365" s="3">
        <v>176</v>
      </c>
      <c r="H365" s="3">
        <v>23</v>
      </c>
      <c r="I365" t="s">
        <v>32</v>
      </c>
      <c r="J365" t="s">
        <v>19</v>
      </c>
      <c r="K365" t="s">
        <v>20</v>
      </c>
      <c r="L365" t="s">
        <v>34</v>
      </c>
      <c r="M365" s="2">
        <v>0.2</v>
      </c>
      <c r="N365" t="s">
        <v>29</v>
      </c>
      <c r="O365" t="str">
        <f t="shared" si="11"/>
        <v>September</v>
      </c>
      <c r="P365" t="str">
        <f t="shared" si="10"/>
        <v>Young Adult</v>
      </c>
    </row>
    <row r="366" spans="1:16" x14ac:dyDescent="0.25">
      <c r="A366">
        <v>1365</v>
      </c>
      <c r="B366" s="1">
        <v>45031</v>
      </c>
      <c r="C366" t="s">
        <v>24</v>
      </c>
      <c r="D366" t="s">
        <v>84</v>
      </c>
      <c r="E366" s="3">
        <v>1252</v>
      </c>
      <c r="F366" s="3">
        <v>1</v>
      </c>
      <c r="G366" s="3">
        <v>1252</v>
      </c>
      <c r="H366" s="3">
        <v>49</v>
      </c>
      <c r="I366" t="s">
        <v>32</v>
      </c>
      <c r="J366" t="s">
        <v>60</v>
      </c>
      <c r="K366" t="s">
        <v>42</v>
      </c>
      <c r="L366" t="s">
        <v>38</v>
      </c>
      <c r="M366" s="2">
        <v>0.3</v>
      </c>
      <c r="N366" t="s">
        <v>22</v>
      </c>
      <c r="O366" t="str">
        <f t="shared" si="11"/>
        <v>April</v>
      </c>
      <c r="P366" t="str">
        <f t="shared" si="10"/>
        <v>Adult</v>
      </c>
    </row>
    <row r="367" spans="1:16" x14ac:dyDescent="0.25">
      <c r="A367">
        <v>1366</v>
      </c>
      <c r="B367" s="1">
        <v>45006</v>
      </c>
      <c r="C367" t="s">
        <v>49</v>
      </c>
      <c r="D367" t="s">
        <v>66</v>
      </c>
      <c r="E367" s="3">
        <v>321</v>
      </c>
      <c r="F367" s="3">
        <v>4</v>
      </c>
      <c r="G367" s="3">
        <v>1284</v>
      </c>
      <c r="H367" s="3">
        <v>36</v>
      </c>
      <c r="I367" t="s">
        <v>32</v>
      </c>
      <c r="J367" t="s">
        <v>58</v>
      </c>
      <c r="K367" t="s">
        <v>45</v>
      </c>
      <c r="L367" t="s">
        <v>28</v>
      </c>
      <c r="M367" s="2">
        <v>0.1</v>
      </c>
      <c r="N367" t="s">
        <v>29</v>
      </c>
      <c r="O367" t="str">
        <f t="shared" si="11"/>
        <v>March</v>
      </c>
      <c r="P367" t="str">
        <f t="shared" si="10"/>
        <v>Adult</v>
      </c>
    </row>
    <row r="368" spans="1:16" x14ac:dyDescent="0.25">
      <c r="A368">
        <v>1367</v>
      </c>
      <c r="B368" s="1">
        <v>45092</v>
      </c>
      <c r="C368" t="s">
        <v>30</v>
      </c>
      <c r="D368" t="s">
        <v>69</v>
      </c>
      <c r="E368" s="3">
        <v>1312</v>
      </c>
      <c r="F368" s="3">
        <v>5</v>
      </c>
      <c r="G368" s="3">
        <v>6560</v>
      </c>
      <c r="H368" s="3">
        <v>57</v>
      </c>
      <c r="I368" t="s">
        <v>18</v>
      </c>
      <c r="J368" t="s">
        <v>26</v>
      </c>
      <c r="K368" t="s">
        <v>45</v>
      </c>
      <c r="L368" t="s">
        <v>47</v>
      </c>
      <c r="M368" s="2">
        <v>0.25</v>
      </c>
      <c r="N368" t="s">
        <v>22</v>
      </c>
      <c r="O368" t="str">
        <f t="shared" si="11"/>
        <v>June</v>
      </c>
      <c r="P368" t="str">
        <f t="shared" si="10"/>
        <v>Middle-Aged</v>
      </c>
    </row>
    <row r="369" spans="1:16" x14ac:dyDescent="0.25">
      <c r="A369">
        <v>1368</v>
      </c>
      <c r="B369" s="1">
        <v>45084</v>
      </c>
      <c r="C369" t="s">
        <v>35</v>
      </c>
      <c r="D369" t="s">
        <v>74</v>
      </c>
      <c r="E369" s="3">
        <v>1458</v>
      </c>
      <c r="F369" s="3">
        <v>2</v>
      </c>
      <c r="G369" s="3">
        <v>2916</v>
      </c>
      <c r="H369" s="3">
        <v>42</v>
      </c>
      <c r="I369" t="s">
        <v>32</v>
      </c>
      <c r="J369" t="s">
        <v>43</v>
      </c>
      <c r="K369" t="s">
        <v>33</v>
      </c>
      <c r="L369" t="s">
        <v>21</v>
      </c>
      <c r="M369" s="2">
        <v>0.05</v>
      </c>
      <c r="N369" t="s">
        <v>22</v>
      </c>
      <c r="O369" t="str">
        <f t="shared" si="11"/>
        <v>June</v>
      </c>
      <c r="P369" t="str">
        <f t="shared" si="10"/>
        <v>Adult</v>
      </c>
    </row>
    <row r="370" spans="1:16" x14ac:dyDescent="0.25">
      <c r="A370">
        <v>1369</v>
      </c>
      <c r="B370" s="1">
        <v>45070</v>
      </c>
      <c r="C370" t="s">
        <v>39</v>
      </c>
      <c r="D370" t="s">
        <v>40</v>
      </c>
      <c r="E370" s="3">
        <v>670</v>
      </c>
      <c r="F370" s="3">
        <v>5</v>
      </c>
      <c r="G370" s="3">
        <v>3350</v>
      </c>
      <c r="H370" s="3">
        <v>28</v>
      </c>
      <c r="I370" t="s">
        <v>32</v>
      </c>
      <c r="J370" t="s">
        <v>19</v>
      </c>
      <c r="K370" t="s">
        <v>27</v>
      </c>
      <c r="L370" t="s">
        <v>28</v>
      </c>
      <c r="M370" s="2">
        <v>0.05</v>
      </c>
      <c r="N370" t="s">
        <v>29</v>
      </c>
      <c r="O370" t="str">
        <f t="shared" si="11"/>
        <v>May</v>
      </c>
      <c r="P370" t="str">
        <f t="shared" si="10"/>
        <v>Young Adult</v>
      </c>
    </row>
    <row r="371" spans="1:16" x14ac:dyDescent="0.25">
      <c r="A371">
        <v>1370</v>
      </c>
      <c r="B371" s="1">
        <v>45000</v>
      </c>
      <c r="C371" t="s">
        <v>24</v>
      </c>
      <c r="D371" t="s">
        <v>76</v>
      </c>
      <c r="E371" s="3">
        <v>403</v>
      </c>
      <c r="F371" s="3">
        <v>5</v>
      </c>
      <c r="G371" s="3">
        <v>2015</v>
      </c>
      <c r="H371" s="3">
        <v>31</v>
      </c>
      <c r="I371" t="s">
        <v>18</v>
      </c>
      <c r="J371" t="s">
        <v>43</v>
      </c>
      <c r="K371" t="s">
        <v>42</v>
      </c>
      <c r="L371" t="s">
        <v>38</v>
      </c>
      <c r="M371" s="2">
        <v>0.2</v>
      </c>
      <c r="N371" t="s">
        <v>22</v>
      </c>
      <c r="O371" t="str">
        <f t="shared" si="11"/>
        <v>March</v>
      </c>
      <c r="P371" t="str">
        <f t="shared" si="10"/>
        <v>Adult</v>
      </c>
    </row>
    <row r="372" spans="1:16" x14ac:dyDescent="0.25">
      <c r="A372">
        <v>1371</v>
      </c>
      <c r="B372" s="1">
        <v>45001</v>
      </c>
      <c r="C372" t="s">
        <v>39</v>
      </c>
      <c r="D372" t="s">
        <v>46</v>
      </c>
      <c r="E372" s="3">
        <v>164</v>
      </c>
      <c r="F372" s="3">
        <v>4</v>
      </c>
      <c r="G372" s="3">
        <v>656</v>
      </c>
      <c r="H372" s="3">
        <v>21</v>
      </c>
      <c r="I372" t="s">
        <v>32</v>
      </c>
      <c r="J372" t="s">
        <v>26</v>
      </c>
      <c r="K372" t="s">
        <v>33</v>
      </c>
      <c r="L372" t="s">
        <v>21</v>
      </c>
      <c r="M372" s="2">
        <v>0.3</v>
      </c>
      <c r="N372" t="s">
        <v>29</v>
      </c>
      <c r="O372" t="str">
        <f t="shared" si="11"/>
        <v>March</v>
      </c>
      <c r="P372" t="str">
        <f t="shared" si="10"/>
        <v>Young Adult</v>
      </c>
    </row>
    <row r="373" spans="1:16" x14ac:dyDescent="0.25">
      <c r="A373">
        <v>1372</v>
      </c>
      <c r="B373" s="1">
        <v>45256</v>
      </c>
      <c r="C373" t="s">
        <v>30</v>
      </c>
      <c r="D373" t="s">
        <v>44</v>
      </c>
      <c r="E373" s="3">
        <v>1353</v>
      </c>
      <c r="F373" s="3">
        <v>2</v>
      </c>
      <c r="G373" s="3">
        <v>2706</v>
      </c>
      <c r="H373" s="3">
        <v>56</v>
      </c>
      <c r="I373" t="s">
        <v>32</v>
      </c>
      <c r="J373" t="s">
        <v>26</v>
      </c>
      <c r="K373" t="s">
        <v>33</v>
      </c>
      <c r="L373" t="s">
        <v>38</v>
      </c>
      <c r="M373" s="2">
        <v>0.2</v>
      </c>
      <c r="N373" t="s">
        <v>29</v>
      </c>
      <c r="O373" t="str">
        <f t="shared" si="11"/>
        <v>November</v>
      </c>
      <c r="P373" t="str">
        <f t="shared" si="10"/>
        <v>Middle-Aged</v>
      </c>
    </row>
    <row r="374" spans="1:16" x14ac:dyDescent="0.25">
      <c r="A374">
        <v>1373</v>
      </c>
      <c r="B374" s="1">
        <v>44999</v>
      </c>
      <c r="C374" t="s">
        <v>30</v>
      </c>
      <c r="D374" t="s">
        <v>77</v>
      </c>
      <c r="E374" s="3">
        <v>662</v>
      </c>
      <c r="F374" s="3">
        <v>2</v>
      </c>
      <c r="G374" s="3">
        <v>1324</v>
      </c>
      <c r="H374" s="3">
        <v>31</v>
      </c>
      <c r="I374" t="s">
        <v>32</v>
      </c>
      <c r="J374" t="s">
        <v>41</v>
      </c>
      <c r="K374" t="s">
        <v>42</v>
      </c>
      <c r="L374" t="s">
        <v>34</v>
      </c>
      <c r="M374" s="2">
        <v>0.2</v>
      </c>
      <c r="N374" t="s">
        <v>29</v>
      </c>
      <c r="O374" t="str">
        <f t="shared" si="11"/>
        <v>March</v>
      </c>
      <c r="P374" t="str">
        <f t="shared" si="10"/>
        <v>Adult</v>
      </c>
    </row>
    <row r="375" spans="1:16" x14ac:dyDescent="0.25">
      <c r="A375">
        <v>1374</v>
      </c>
      <c r="B375" s="1">
        <v>44934</v>
      </c>
      <c r="C375" t="s">
        <v>16</v>
      </c>
      <c r="D375" t="s">
        <v>62</v>
      </c>
      <c r="E375" s="3">
        <v>753</v>
      </c>
      <c r="F375" s="3">
        <v>5</v>
      </c>
      <c r="G375" s="3">
        <v>3765</v>
      </c>
      <c r="H375" s="3">
        <v>41</v>
      </c>
      <c r="I375" t="s">
        <v>32</v>
      </c>
      <c r="J375" t="s">
        <v>19</v>
      </c>
      <c r="K375" t="s">
        <v>37</v>
      </c>
      <c r="L375" t="s">
        <v>28</v>
      </c>
      <c r="M375" s="2">
        <v>0.2</v>
      </c>
      <c r="N375" t="s">
        <v>29</v>
      </c>
      <c r="O375" t="str">
        <f t="shared" si="11"/>
        <v>January</v>
      </c>
      <c r="P375" t="str">
        <f t="shared" si="10"/>
        <v>Adult</v>
      </c>
    </row>
    <row r="376" spans="1:16" x14ac:dyDescent="0.25">
      <c r="A376">
        <v>1375</v>
      </c>
      <c r="B376" s="1">
        <v>45108</v>
      </c>
      <c r="C376" t="s">
        <v>52</v>
      </c>
      <c r="D376" t="s">
        <v>67</v>
      </c>
      <c r="E376" s="3">
        <v>906</v>
      </c>
      <c r="F376" s="3">
        <v>5</v>
      </c>
      <c r="G376" s="3">
        <v>4530</v>
      </c>
      <c r="H376" s="3">
        <v>52</v>
      </c>
      <c r="I376" t="s">
        <v>32</v>
      </c>
      <c r="J376" t="s">
        <v>58</v>
      </c>
      <c r="K376" t="s">
        <v>33</v>
      </c>
      <c r="L376" t="s">
        <v>21</v>
      </c>
      <c r="M376" s="2">
        <v>0.15</v>
      </c>
      <c r="N376" t="s">
        <v>29</v>
      </c>
      <c r="O376" t="str">
        <f t="shared" si="11"/>
        <v>July</v>
      </c>
      <c r="P376" t="str">
        <f t="shared" si="10"/>
        <v>Middle-Aged</v>
      </c>
    </row>
    <row r="377" spans="1:16" x14ac:dyDescent="0.25">
      <c r="A377">
        <v>1376</v>
      </c>
      <c r="B377" s="1">
        <v>45304</v>
      </c>
      <c r="C377" t="s">
        <v>24</v>
      </c>
      <c r="D377" t="s">
        <v>76</v>
      </c>
      <c r="E377" s="3">
        <v>287</v>
      </c>
      <c r="F377" s="3">
        <v>4</v>
      </c>
      <c r="G377" s="3">
        <v>1148</v>
      </c>
      <c r="H377" s="3">
        <v>48</v>
      </c>
      <c r="I377" t="s">
        <v>18</v>
      </c>
      <c r="J377" t="s">
        <v>43</v>
      </c>
      <c r="K377" t="s">
        <v>37</v>
      </c>
      <c r="L377" t="s">
        <v>38</v>
      </c>
      <c r="M377" s="2">
        <v>0.25</v>
      </c>
      <c r="N377" t="s">
        <v>29</v>
      </c>
      <c r="O377" t="str">
        <f t="shared" si="11"/>
        <v>January</v>
      </c>
      <c r="P377" t="str">
        <f t="shared" si="10"/>
        <v>Adult</v>
      </c>
    </row>
    <row r="378" spans="1:16" x14ac:dyDescent="0.25">
      <c r="A378">
        <v>1377</v>
      </c>
      <c r="B378" s="1">
        <v>44966</v>
      </c>
      <c r="C378" t="s">
        <v>49</v>
      </c>
      <c r="D378" t="s">
        <v>66</v>
      </c>
      <c r="E378" s="3">
        <v>1390</v>
      </c>
      <c r="F378" s="3">
        <v>5</v>
      </c>
      <c r="G378" s="3">
        <v>6950</v>
      </c>
      <c r="H378" s="3">
        <v>28</v>
      </c>
      <c r="I378" t="s">
        <v>18</v>
      </c>
      <c r="J378" t="s">
        <v>60</v>
      </c>
      <c r="K378" t="s">
        <v>45</v>
      </c>
      <c r="L378" t="s">
        <v>34</v>
      </c>
      <c r="M378" s="2">
        <v>0.25</v>
      </c>
      <c r="N378" t="s">
        <v>29</v>
      </c>
      <c r="O378" t="str">
        <f t="shared" si="11"/>
        <v>February</v>
      </c>
      <c r="P378" t="str">
        <f t="shared" si="10"/>
        <v>Young Adult</v>
      </c>
    </row>
    <row r="379" spans="1:16" x14ac:dyDescent="0.25">
      <c r="A379">
        <v>1378</v>
      </c>
      <c r="B379" s="1">
        <v>45251</v>
      </c>
      <c r="C379" t="s">
        <v>39</v>
      </c>
      <c r="D379" t="s">
        <v>46</v>
      </c>
      <c r="E379" s="3">
        <v>818</v>
      </c>
      <c r="F379" s="3">
        <v>2</v>
      </c>
      <c r="G379" s="3">
        <v>1636</v>
      </c>
      <c r="H379" s="3">
        <v>50</v>
      </c>
      <c r="I379" t="s">
        <v>32</v>
      </c>
      <c r="J379" t="s">
        <v>51</v>
      </c>
      <c r="K379" t="s">
        <v>20</v>
      </c>
      <c r="L379" t="s">
        <v>38</v>
      </c>
      <c r="M379" s="2">
        <v>0.15</v>
      </c>
      <c r="N379" t="s">
        <v>22</v>
      </c>
      <c r="O379" t="str">
        <f t="shared" si="11"/>
        <v>November</v>
      </c>
      <c r="P379" t="str">
        <f t="shared" si="10"/>
        <v>Middle-Aged</v>
      </c>
    </row>
    <row r="380" spans="1:16" x14ac:dyDescent="0.25">
      <c r="A380">
        <v>1379</v>
      </c>
      <c r="B380" s="1">
        <v>45320</v>
      </c>
      <c r="C380" t="s">
        <v>35</v>
      </c>
      <c r="D380" t="s">
        <v>70</v>
      </c>
      <c r="E380" s="3">
        <v>787</v>
      </c>
      <c r="F380" s="3">
        <v>2</v>
      </c>
      <c r="G380" s="3">
        <v>1574</v>
      </c>
      <c r="H380" s="3">
        <v>44</v>
      </c>
      <c r="I380" t="s">
        <v>18</v>
      </c>
      <c r="J380" t="s">
        <v>60</v>
      </c>
      <c r="K380" t="s">
        <v>45</v>
      </c>
      <c r="L380" t="s">
        <v>21</v>
      </c>
      <c r="M380" s="2">
        <v>0.1</v>
      </c>
      <c r="N380" t="s">
        <v>22</v>
      </c>
      <c r="O380" t="str">
        <f t="shared" si="11"/>
        <v>January</v>
      </c>
      <c r="P380" t="str">
        <f t="shared" si="10"/>
        <v>Adult</v>
      </c>
    </row>
    <row r="381" spans="1:16" x14ac:dyDescent="0.25">
      <c r="A381">
        <v>1380</v>
      </c>
      <c r="B381" s="1">
        <v>45178</v>
      </c>
      <c r="C381" t="s">
        <v>30</v>
      </c>
      <c r="D381" t="s">
        <v>44</v>
      </c>
      <c r="E381" s="3">
        <v>211</v>
      </c>
      <c r="F381" s="3">
        <v>5</v>
      </c>
      <c r="G381" s="3">
        <v>1055</v>
      </c>
      <c r="H381" s="3">
        <v>37</v>
      </c>
      <c r="I381" t="s">
        <v>32</v>
      </c>
      <c r="J381" t="s">
        <v>63</v>
      </c>
      <c r="K381" t="s">
        <v>42</v>
      </c>
      <c r="L381" t="s">
        <v>47</v>
      </c>
      <c r="M381" s="2">
        <v>0.3</v>
      </c>
      <c r="N381" t="s">
        <v>29</v>
      </c>
      <c r="O381" t="str">
        <f t="shared" si="11"/>
        <v>September</v>
      </c>
      <c r="P381" t="str">
        <f t="shared" si="10"/>
        <v>Adult</v>
      </c>
    </row>
    <row r="382" spans="1:16" x14ac:dyDescent="0.25">
      <c r="A382">
        <v>1381</v>
      </c>
      <c r="B382" s="1">
        <v>45248</v>
      </c>
      <c r="C382" t="s">
        <v>30</v>
      </c>
      <c r="D382" t="s">
        <v>31</v>
      </c>
      <c r="E382" s="3">
        <v>149</v>
      </c>
      <c r="F382" s="3">
        <v>4</v>
      </c>
      <c r="G382" s="3">
        <v>596</v>
      </c>
      <c r="H382" s="3">
        <v>43</v>
      </c>
      <c r="I382" t="s">
        <v>18</v>
      </c>
      <c r="J382" t="s">
        <v>19</v>
      </c>
      <c r="K382" t="s">
        <v>45</v>
      </c>
      <c r="L382" t="s">
        <v>47</v>
      </c>
      <c r="M382" s="2">
        <v>0.1</v>
      </c>
      <c r="N382" t="s">
        <v>29</v>
      </c>
      <c r="O382" t="str">
        <f t="shared" si="11"/>
        <v>November</v>
      </c>
      <c r="P382" t="str">
        <f t="shared" si="10"/>
        <v>Adult</v>
      </c>
    </row>
    <row r="383" spans="1:16" x14ac:dyDescent="0.25">
      <c r="A383">
        <v>1382</v>
      </c>
      <c r="B383" s="1">
        <v>45326</v>
      </c>
      <c r="C383" t="s">
        <v>30</v>
      </c>
      <c r="D383" t="s">
        <v>44</v>
      </c>
      <c r="E383" s="3">
        <v>1013</v>
      </c>
      <c r="F383" s="3">
        <v>2</v>
      </c>
      <c r="G383" s="3">
        <v>2026</v>
      </c>
      <c r="H383" s="3">
        <v>55</v>
      </c>
      <c r="I383" t="s">
        <v>18</v>
      </c>
      <c r="J383" t="s">
        <v>58</v>
      </c>
      <c r="K383" t="s">
        <v>33</v>
      </c>
      <c r="L383" t="s">
        <v>34</v>
      </c>
      <c r="M383" s="2">
        <v>0.2</v>
      </c>
      <c r="N383" t="s">
        <v>22</v>
      </c>
      <c r="O383" t="str">
        <f t="shared" si="11"/>
        <v>February</v>
      </c>
      <c r="P383" t="str">
        <f t="shared" si="10"/>
        <v>Middle-Aged</v>
      </c>
    </row>
    <row r="384" spans="1:16" x14ac:dyDescent="0.25">
      <c r="A384">
        <v>1383</v>
      </c>
      <c r="B384" s="1">
        <v>45235</v>
      </c>
      <c r="C384" t="s">
        <v>52</v>
      </c>
      <c r="D384" t="s">
        <v>73</v>
      </c>
      <c r="E384" s="3">
        <v>421</v>
      </c>
      <c r="F384" s="3">
        <v>4</v>
      </c>
      <c r="G384" s="3">
        <v>1684</v>
      </c>
      <c r="H384" s="3">
        <v>45</v>
      </c>
      <c r="I384" t="s">
        <v>18</v>
      </c>
      <c r="J384" t="s">
        <v>55</v>
      </c>
      <c r="K384" t="s">
        <v>45</v>
      </c>
      <c r="L384" t="s">
        <v>21</v>
      </c>
      <c r="M384" s="2">
        <v>0.3</v>
      </c>
      <c r="N384" t="s">
        <v>22</v>
      </c>
      <c r="O384" t="str">
        <f t="shared" si="11"/>
        <v>November</v>
      </c>
      <c r="P384" t="str">
        <f t="shared" si="10"/>
        <v>Adult</v>
      </c>
    </row>
    <row r="385" spans="1:16" x14ac:dyDescent="0.25">
      <c r="A385">
        <v>1384</v>
      </c>
      <c r="B385" s="1">
        <v>44994</v>
      </c>
      <c r="C385" t="s">
        <v>52</v>
      </c>
      <c r="D385" t="s">
        <v>73</v>
      </c>
      <c r="E385" s="3">
        <v>579</v>
      </c>
      <c r="F385" s="3">
        <v>5</v>
      </c>
      <c r="G385" s="3">
        <v>2895</v>
      </c>
      <c r="H385" s="3">
        <v>44</v>
      </c>
      <c r="I385" t="s">
        <v>32</v>
      </c>
      <c r="J385" t="s">
        <v>55</v>
      </c>
      <c r="K385" t="s">
        <v>37</v>
      </c>
      <c r="L385" t="s">
        <v>38</v>
      </c>
      <c r="M385" s="2">
        <v>0.05</v>
      </c>
      <c r="N385" t="s">
        <v>29</v>
      </c>
      <c r="O385" t="str">
        <f t="shared" si="11"/>
        <v>March</v>
      </c>
      <c r="P385" t="str">
        <f t="shared" si="10"/>
        <v>Adult</v>
      </c>
    </row>
    <row r="386" spans="1:16" x14ac:dyDescent="0.25">
      <c r="A386">
        <v>1385</v>
      </c>
      <c r="B386" s="1">
        <v>45123</v>
      </c>
      <c r="C386" t="s">
        <v>39</v>
      </c>
      <c r="D386" t="s">
        <v>68</v>
      </c>
      <c r="E386" s="3">
        <v>1295</v>
      </c>
      <c r="F386" s="3">
        <v>1</v>
      </c>
      <c r="G386" s="3">
        <v>1295</v>
      </c>
      <c r="H386" s="3">
        <v>34</v>
      </c>
      <c r="I386" t="s">
        <v>18</v>
      </c>
      <c r="J386" t="s">
        <v>41</v>
      </c>
      <c r="K386" t="s">
        <v>27</v>
      </c>
      <c r="L386" t="s">
        <v>38</v>
      </c>
      <c r="M386" s="2">
        <v>0.2</v>
      </c>
      <c r="N386" t="s">
        <v>29</v>
      </c>
      <c r="O386" t="str">
        <f t="shared" si="11"/>
        <v>July</v>
      </c>
      <c r="P386" t="str">
        <f t="shared" ref="P386:P449" si="12">IF(H386&lt;13, "Child", IF(H386&lt;18, "Teen", IF(H386&lt;30, "Young Adult", IF(H386&lt;50, "Adult", IF(H386&lt;65, "Middle-Aged", "Senior")))))</f>
        <v>Adult</v>
      </c>
    </row>
    <row r="387" spans="1:16" x14ac:dyDescent="0.25">
      <c r="A387">
        <v>1386</v>
      </c>
      <c r="B387" s="1">
        <v>45053</v>
      </c>
      <c r="C387" t="s">
        <v>30</v>
      </c>
      <c r="D387" t="s">
        <v>31</v>
      </c>
      <c r="E387" s="3">
        <v>91</v>
      </c>
      <c r="F387" s="3">
        <v>4</v>
      </c>
      <c r="G387" s="3">
        <v>364</v>
      </c>
      <c r="H387" s="3">
        <v>47</v>
      </c>
      <c r="I387" t="s">
        <v>18</v>
      </c>
      <c r="J387" t="s">
        <v>43</v>
      </c>
      <c r="K387" t="s">
        <v>27</v>
      </c>
      <c r="L387" t="s">
        <v>21</v>
      </c>
      <c r="M387" s="2">
        <v>0.15</v>
      </c>
      <c r="N387" t="s">
        <v>22</v>
      </c>
      <c r="O387" t="str">
        <f t="shared" ref="O387:O450" si="13">TEXT(B387, "MMMM")</f>
        <v>May</v>
      </c>
      <c r="P387" t="str">
        <f t="shared" si="12"/>
        <v>Adult</v>
      </c>
    </row>
    <row r="388" spans="1:16" x14ac:dyDescent="0.25">
      <c r="A388">
        <v>1387</v>
      </c>
      <c r="B388" s="1">
        <v>45015</v>
      </c>
      <c r="C388" t="s">
        <v>24</v>
      </c>
      <c r="D388" t="s">
        <v>84</v>
      </c>
      <c r="E388" s="3">
        <v>375</v>
      </c>
      <c r="F388" s="3">
        <v>2</v>
      </c>
      <c r="G388" s="3">
        <v>750</v>
      </c>
      <c r="H388" s="3">
        <v>28</v>
      </c>
      <c r="I388" t="s">
        <v>32</v>
      </c>
      <c r="J388" t="s">
        <v>26</v>
      </c>
      <c r="K388" t="s">
        <v>20</v>
      </c>
      <c r="L388" t="s">
        <v>21</v>
      </c>
      <c r="M388" s="2">
        <v>0.3</v>
      </c>
      <c r="N388" t="s">
        <v>29</v>
      </c>
      <c r="O388" t="str">
        <f t="shared" si="13"/>
        <v>March</v>
      </c>
      <c r="P388" t="str">
        <f t="shared" si="12"/>
        <v>Young Adult</v>
      </c>
    </row>
    <row r="389" spans="1:16" x14ac:dyDescent="0.25">
      <c r="A389">
        <v>1388</v>
      </c>
      <c r="B389" s="1">
        <v>45278</v>
      </c>
      <c r="C389" t="s">
        <v>35</v>
      </c>
      <c r="D389" t="s">
        <v>70</v>
      </c>
      <c r="E389" s="3">
        <v>391</v>
      </c>
      <c r="F389" s="3">
        <v>4</v>
      </c>
      <c r="G389" s="3">
        <v>1564</v>
      </c>
      <c r="H389" s="3">
        <v>49</v>
      </c>
      <c r="I389" t="s">
        <v>18</v>
      </c>
      <c r="J389" t="s">
        <v>55</v>
      </c>
      <c r="K389" t="s">
        <v>33</v>
      </c>
      <c r="L389" t="s">
        <v>21</v>
      </c>
      <c r="M389" s="2">
        <v>0.25</v>
      </c>
      <c r="N389" t="s">
        <v>29</v>
      </c>
      <c r="O389" t="str">
        <f t="shared" si="13"/>
        <v>December</v>
      </c>
      <c r="P389" t="str">
        <f t="shared" si="12"/>
        <v>Adult</v>
      </c>
    </row>
    <row r="390" spans="1:16" x14ac:dyDescent="0.25">
      <c r="A390">
        <v>1389</v>
      </c>
      <c r="B390" s="1">
        <v>45080</v>
      </c>
      <c r="C390" t="s">
        <v>24</v>
      </c>
      <c r="D390" t="s">
        <v>76</v>
      </c>
      <c r="E390" s="3">
        <v>1400</v>
      </c>
      <c r="F390" s="3">
        <v>2</v>
      </c>
      <c r="G390" s="3">
        <v>2800</v>
      </c>
      <c r="H390" s="3">
        <v>23</v>
      </c>
      <c r="I390" t="s">
        <v>32</v>
      </c>
      <c r="J390" t="s">
        <v>19</v>
      </c>
      <c r="K390" t="s">
        <v>45</v>
      </c>
      <c r="L390" t="s">
        <v>28</v>
      </c>
      <c r="M390" s="2">
        <v>0.25</v>
      </c>
      <c r="N390" t="s">
        <v>29</v>
      </c>
      <c r="O390" t="str">
        <f t="shared" si="13"/>
        <v>June</v>
      </c>
      <c r="P390" t="str">
        <f t="shared" si="12"/>
        <v>Young Adult</v>
      </c>
    </row>
    <row r="391" spans="1:16" x14ac:dyDescent="0.25">
      <c r="A391">
        <v>1390</v>
      </c>
      <c r="B391" s="1">
        <v>45314</v>
      </c>
      <c r="C391" t="s">
        <v>49</v>
      </c>
      <c r="D391" t="s">
        <v>81</v>
      </c>
      <c r="E391" s="3">
        <v>120</v>
      </c>
      <c r="F391" s="3">
        <v>2</v>
      </c>
      <c r="G391" s="3">
        <v>240</v>
      </c>
      <c r="H391" s="3">
        <v>58</v>
      </c>
      <c r="I391" t="s">
        <v>18</v>
      </c>
      <c r="J391" t="s">
        <v>55</v>
      </c>
      <c r="K391" t="s">
        <v>45</v>
      </c>
      <c r="L391" t="s">
        <v>21</v>
      </c>
      <c r="M391" s="2">
        <v>0.25</v>
      </c>
      <c r="N391" t="s">
        <v>29</v>
      </c>
      <c r="O391" t="str">
        <f t="shared" si="13"/>
        <v>January</v>
      </c>
      <c r="P391" t="str">
        <f t="shared" si="12"/>
        <v>Middle-Aged</v>
      </c>
    </row>
    <row r="392" spans="1:16" x14ac:dyDescent="0.25">
      <c r="A392">
        <v>1391</v>
      </c>
      <c r="B392" s="1">
        <v>45198</v>
      </c>
      <c r="C392" t="s">
        <v>35</v>
      </c>
      <c r="D392" t="s">
        <v>75</v>
      </c>
      <c r="E392" s="3">
        <v>64</v>
      </c>
      <c r="F392" s="3">
        <v>3</v>
      </c>
      <c r="G392" s="3">
        <v>192</v>
      </c>
      <c r="H392" s="3">
        <v>53</v>
      </c>
      <c r="I392" t="s">
        <v>32</v>
      </c>
      <c r="J392" t="s">
        <v>19</v>
      </c>
      <c r="K392" t="s">
        <v>20</v>
      </c>
      <c r="L392" t="s">
        <v>21</v>
      </c>
      <c r="M392" s="2">
        <v>0.1</v>
      </c>
      <c r="N392" t="s">
        <v>22</v>
      </c>
      <c r="O392" t="str">
        <f t="shared" si="13"/>
        <v>September</v>
      </c>
      <c r="P392" t="str">
        <f t="shared" si="12"/>
        <v>Middle-Aged</v>
      </c>
    </row>
    <row r="393" spans="1:16" x14ac:dyDescent="0.25">
      <c r="A393">
        <v>1392</v>
      </c>
      <c r="B393" s="1">
        <v>45094</v>
      </c>
      <c r="C393" t="s">
        <v>52</v>
      </c>
      <c r="D393" t="s">
        <v>67</v>
      </c>
      <c r="E393" s="3">
        <v>100</v>
      </c>
      <c r="F393" s="3">
        <v>3</v>
      </c>
      <c r="G393" s="3">
        <v>300</v>
      </c>
      <c r="H393" s="3">
        <v>43</v>
      </c>
      <c r="I393" t="s">
        <v>32</v>
      </c>
      <c r="J393" t="s">
        <v>19</v>
      </c>
      <c r="K393" t="s">
        <v>42</v>
      </c>
      <c r="L393" t="s">
        <v>34</v>
      </c>
      <c r="M393" s="2">
        <v>0.15</v>
      </c>
      <c r="N393" t="s">
        <v>22</v>
      </c>
      <c r="O393" t="str">
        <f t="shared" si="13"/>
        <v>June</v>
      </c>
      <c r="P393" t="str">
        <f t="shared" si="12"/>
        <v>Adult</v>
      </c>
    </row>
    <row r="394" spans="1:16" x14ac:dyDescent="0.25">
      <c r="A394">
        <v>1393</v>
      </c>
      <c r="B394" s="1">
        <v>45235</v>
      </c>
      <c r="C394" t="s">
        <v>30</v>
      </c>
      <c r="D394" t="s">
        <v>31</v>
      </c>
      <c r="E394" s="3">
        <v>657</v>
      </c>
      <c r="F394" s="3">
        <v>5</v>
      </c>
      <c r="G394" s="3">
        <v>3285</v>
      </c>
      <c r="H394" s="3">
        <v>47</v>
      </c>
      <c r="I394" t="s">
        <v>32</v>
      </c>
      <c r="J394" t="s">
        <v>48</v>
      </c>
      <c r="K394" t="s">
        <v>20</v>
      </c>
      <c r="L394" t="s">
        <v>47</v>
      </c>
      <c r="M394" s="2">
        <v>0.05</v>
      </c>
      <c r="N394" t="s">
        <v>22</v>
      </c>
      <c r="O394" t="str">
        <f t="shared" si="13"/>
        <v>November</v>
      </c>
      <c r="P394" t="str">
        <f t="shared" si="12"/>
        <v>Adult</v>
      </c>
    </row>
    <row r="395" spans="1:16" x14ac:dyDescent="0.25">
      <c r="A395">
        <v>1394</v>
      </c>
      <c r="B395" s="1">
        <v>45205</v>
      </c>
      <c r="C395" t="s">
        <v>30</v>
      </c>
      <c r="D395" t="s">
        <v>77</v>
      </c>
      <c r="E395" s="3">
        <v>337</v>
      </c>
      <c r="F395" s="3">
        <v>2</v>
      </c>
      <c r="G395" s="3">
        <v>674</v>
      </c>
      <c r="H395" s="3">
        <v>18</v>
      </c>
      <c r="I395" t="s">
        <v>32</v>
      </c>
      <c r="J395" t="s">
        <v>55</v>
      </c>
      <c r="K395" t="s">
        <v>42</v>
      </c>
      <c r="L395" t="s">
        <v>28</v>
      </c>
      <c r="M395" s="2">
        <v>0.3</v>
      </c>
      <c r="N395" t="s">
        <v>22</v>
      </c>
      <c r="O395" t="str">
        <f t="shared" si="13"/>
        <v>October</v>
      </c>
      <c r="P395" t="str">
        <f t="shared" si="12"/>
        <v>Young Adult</v>
      </c>
    </row>
    <row r="396" spans="1:16" x14ac:dyDescent="0.25">
      <c r="A396">
        <v>1395</v>
      </c>
      <c r="B396" s="1">
        <v>45043</v>
      </c>
      <c r="C396" t="s">
        <v>30</v>
      </c>
      <c r="D396" t="s">
        <v>77</v>
      </c>
      <c r="E396" s="3">
        <v>46</v>
      </c>
      <c r="F396" s="3">
        <v>5</v>
      </c>
      <c r="G396" s="3">
        <v>230</v>
      </c>
      <c r="H396" s="3">
        <v>55</v>
      </c>
      <c r="I396" t="s">
        <v>18</v>
      </c>
      <c r="J396" t="s">
        <v>55</v>
      </c>
      <c r="K396" t="s">
        <v>37</v>
      </c>
      <c r="L396" t="s">
        <v>47</v>
      </c>
      <c r="M396" s="2">
        <v>0.15</v>
      </c>
      <c r="N396" t="s">
        <v>22</v>
      </c>
      <c r="O396" t="str">
        <f t="shared" si="13"/>
        <v>April</v>
      </c>
      <c r="P396" t="str">
        <f t="shared" si="12"/>
        <v>Middle-Aged</v>
      </c>
    </row>
    <row r="397" spans="1:16" x14ac:dyDescent="0.25">
      <c r="A397">
        <v>1396</v>
      </c>
      <c r="B397" s="1">
        <v>45215</v>
      </c>
      <c r="C397" t="s">
        <v>24</v>
      </c>
      <c r="D397" t="s">
        <v>76</v>
      </c>
      <c r="E397" s="3">
        <v>1026</v>
      </c>
      <c r="F397" s="3">
        <v>4</v>
      </c>
      <c r="G397" s="3">
        <v>4104</v>
      </c>
      <c r="H397" s="3">
        <v>29</v>
      </c>
      <c r="I397" t="s">
        <v>32</v>
      </c>
      <c r="J397" t="s">
        <v>51</v>
      </c>
      <c r="K397" t="s">
        <v>42</v>
      </c>
      <c r="L397" t="s">
        <v>38</v>
      </c>
      <c r="M397" s="2">
        <v>0.05</v>
      </c>
      <c r="N397" t="s">
        <v>22</v>
      </c>
      <c r="O397" t="str">
        <f t="shared" si="13"/>
        <v>October</v>
      </c>
      <c r="P397" t="str">
        <f t="shared" si="12"/>
        <v>Young Adult</v>
      </c>
    </row>
    <row r="398" spans="1:16" x14ac:dyDescent="0.25">
      <c r="A398">
        <v>1397</v>
      </c>
      <c r="B398" s="1">
        <v>45020</v>
      </c>
      <c r="C398" t="s">
        <v>24</v>
      </c>
      <c r="D398" t="s">
        <v>54</v>
      </c>
      <c r="E398" s="3">
        <v>778</v>
      </c>
      <c r="F398" s="3">
        <v>5</v>
      </c>
      <c r="G398" s="3">
        <v>3890</v>
      </c>
      <c r="H398" s="3">
        <v>57</v>
      </c>
      <c r="I398" t="s">
        <v>32</v>
      </c>
      <c r="J398" t="s">
        <v>51</v>
      </c>
      <c r="K398" t="s">
        <v>45</v>
      </c>
      <c r="L398" t="s">
        <v>21</v>
      </c>
      <c r="M398" s="2">
        <v>0.1</v>
      </c>
      <c r="N398" t="s">
        <v>22</v>
      </c>
      <c r="O398" t="str">
        <f t="shared" si="13"/>
        <v>April</v>
      </c>
      <c r="P398" t="str">
        <f t="shared" si="12"/>
        <v>Middle-Aged</v>
      </c>
    </row>
    <row r="399" spans="1:16" x14ac:dyDescent="0.25">
      <c r="A399">
        <v>1398</v>
      </c>
      <c r="B399" s="1">
        <v>45247</v>
      </c>
      <c r="C399" t="s">
        <v>49</v>
      </c>
      <c r="D399" t="s">
        <v>64</v>
      </c>
      <c r="E399" s="3">
        <v>1315</v>
      </c>
      <c r="F399" s="3">
        <v>1</v>
      </c>
      <c r="G399" s="3">
        <v>1315</v>
      </c>
      <c r="H399" s="3">
        <v>19</v>
      </c>
      <c r="I399" t="s">
        <v>18</v>
      </c>
      <c r="J399" t="s">
        <v>55</v>
      </c>
      <c r="K399" t="s">
        <v>33</v>
      </c>
      <c r="L399" t="s">
        <v>47</v>
      </c>
      <c r="M399" s="2">
        <v>0.1</v>
      </c>
      <c r="N399" t="s">
        <v>22</v>
      </c>
      <c r="O399" t="str">
        <f t="shared" si="13"/>
        <v>November</v>
      </c>
      <c r="P399" t="str">
        <f t="shared" si="12"/>
        <v>Young Adult</v>
      </c>
    </row>
    <row r="400" spans="1:16" x14ac:dyDescent="0.25">
      <c r="A400">
        <v>1399</v>
      </c>
      <c r="B400" s="1">
        <v>45169</v>
      </c>
      <c r="C400" t="s">
        <v>39</v>
      </c>
      <c r="D400" t="s">
        <v>61</v>
      </c>
      <c r="E400" s="3">
        <v>1239</v>
      </c>
      <c r="F400" s="3">
        <v>2</v>
      </c>
      <c r="G400" s="3">
        <v>2478</v>
      </c>
      <c r="H400" s="3">
        <v>47</v>
      </c>
      <c r="I400" t="s">
        <v>18</v>
      </c>
      <c r="J400" t="s">
        <v>58</v>
      </c>
      <c r="K400" t="s">
        <v>20</v>
      </c>
      <c r="L400" t="s">
        <v>21</v>
      </c>
      <c r="M400" s="2">
        <v>0.05</v>
      </c>
      <c r="N400" t="s">
        <v>22</v>
      </c>
      <c r="O400" t="str">
        <f t="shared" si="13"/>
        <v>August</v>
      </c>
      <c r="P400" t="str">
        <f t="shared" si="12"/>
        <v>Adult</v>
      </c>
    </row>
    <row r="401" spans="1:16" x14ac:dyDescent="0.25">
      <c r="A401">
        <v>1400</v>
      </c>
      <c r="B401" s="1">
        <v>44979</v>
      </c>
      <c r="C401" t="s">
        <v>39</v>
      </c>
      <c r="D401" t="s">
        <v>61</v>
      </c>
      <c r="E401" s="3">
        <v>1447</v>
      </c>
      <c r="F401" s="3">
        <v>1</v>
      </c>
      <c r="G401" s="3">
        <v>1447</v>
      </c>
      <c r="H401" s="3">
        <v>29</v>
      </c>
      <c r="I401" t="s">
        <v>32</v>
      </c>
      <c r="J401" t="s">
        <v>58</v>
      </c>
      <c r="K401" t="s">
        <v>37</v>
      </c>
      <c r="L401" t="s">
        <v>28</v>
      </c>
      <c r="M401" s="2">
        <v>0.05</v>
      </c>
      <c r="N401" t="s">
        <v>22</v>
      </c>
      <c r="O401" t="str">
        <f t="shared" si="13"/>
        <v>February</v>
      </c>
      <c r="P401" t="str">
        <f t="shared" si="12"/>
        <v>Young Adult</v>
      </c>
    </row>
    <row r="402" spans="1:16" x14ac:dyDescent="0.25">
      <c r="A402">
        <v>1401</v>
      </c>
      <c r="B402" s="1">
        <v>44938</v>
      </c>
      <c r="C402" t="s">
        <v>16</v>
      </c>
      <c r="D402" t="s">
        <v>71</v>
      </c>
      <c r="E402" s="3">
        <v>316</v>
      </c>
      <c r="F402" s="3">
        <v>1</v>
      </c>
      <c r="G402" s="3">
        <v>316</v>
      </c>
      <c r="H402" s="3">
        <v>56</v>
      </c>
      <c r="I402" t="s">
        <v>18</v>
      </c>
      <c r="J402" t="s">
        <v>63</v>
      </c>
      <c r="K402" t="s">
        <v>42</v>
      </c>
      <c r="L402" t="s">
        <v>34</v>
      </c>
      <c r="M402" s="2">
        <v>0.3</v>
      </c>
      <c r="N402" t="s">
        <v>22</v>
      </c>
      <c r="O402" t="str">
        <f t="shared" si="13"/>
        <v>January</v>
      </c>
      <c r="P402" t="str">
        <f t="shared" si="12"/>
        <v>Middle-Aged</v>
      </c>
    </row>
    <row r="403" spans="1:16" x14ac:dyDescent="0.25">
      <c r="A403">
        <v>1402</v>
      </c>
      <c r="B403" s="1">
        <v>45191</v>
      </c>
      <c r="C403" t="s">
        <v>30</v>
      </c>
      <c r="D403" t="s">
        <v>77</v>
      </c>
      <c r="E403" s="3">
        <v>1290</v>
      </c>
      <c r="F403" s="3">
        <v>1</v>
      </c>
      <c r="G403" s="3">
        <v>1290</v>
      </c>
      <c r="H403" s="3">
        <v>41</v>
      </c>
      <c r="I403" t="s">
        <v>32</v>
      </c>
      <c r="J403" t="s">
        <v>48</v>
      </c>
      <c r="K403" t="s">
        <v>20</v>
      </c>
      <c r="L403" t="s">
        <v>38</v>
      </c>
      <c r="M403" s="2">
        <v>0.05</v>
      </c>
      <c r="N403" t="s">
        <v>29</v>
      </c>
      <c r="O403" t="str">
        <f t="shared" si="13"/>
        <v>September</v>
      </c>
      <c r="P403" t="str">
        <f t="shared" si="12"/>
        <v>Adult</v>
      </c>
    </row>
    <row r="404" spans="1:16" x14ac:dyDescent="0.25">
      <c r="A404">
        <v>1403</v>
      </c>
      <c r="B404" s="1">
        <v>45200</v>
      </c>
      <c r="C404" t="s">
        <v>39</v>
      </c>
      <c r="D404" t="s">
        <v>40</v>
      </c>
      <c r="E404" s="3">
        <v>1215</v>
      </c>
      <c r="F404" s="3">
        <v>1</v>
      </c>
      <c r="G404" s="3">
        <v>1215</v>
      </c>
      <c r="H404" s="3">
        <v>31</v>
      </c>
      <c r="I404" t="s">
        <v>32</v>
      </c>
      <c r="J404" t="s">
        <v>55</v>
      </c>
      <c r="K404" t="s">
        <v>20</v>
      </c>
      <c r="L404" t="s">
        <v>34</v>
      </c>
      <c r="M404" s="2">
        <v>0.15</v>
      </c>
      <c r="N404" t="s">
        <v>22</v>
      </c>
      <c r="O404" t="str">
        <f t="shared" si="13"/>
        <v>October</v>
      </c>
      <c r="P404" t="str">
        <f t="shared" si="12"/>
        <v>Adult</v>
      </c>
    </row>
    <row r="405" spans="1:16" x14ac:dyDescent="0.25">
      <c r="A405">
        <v>1404</v>
      </c>
      <c r="B405" s="1">
        <v>45031</v>
      </c>
      <c r="C405" t="s">
        <v>24</v>
      </c>
      <c r="D405" t="s">
        <v>25</v>
      </c>
      <c r="E405" s="3">
        <v>634</v>
      </c>
      <c r="F405" s="3">
        <v>4</v>
      </c>
      <c r="G405" s="3">
        <v>2536</v>
      </c>
      <c r="H405" s="3">
        <v>52</v>
      </c>
      <c r="I405" t="s">
        <v>18</v>
      </c>
      <c r="J405" t="s">
        <v>58</v>
      </c>
      <c r="K405" t="s">
        <v>37</v>
      </c>
      <c r="L405" t="s">
        <v>21</v>
      </c>
      <c r="M405" s="2">
        <v>0.05</v>
      </c>
      <c r="N405" t="s">
        <v>29</v>
      </c>
      <c r="O405" t="str">
        <f t="shared" si="13"/>
        <v>April</v>
      </c>
      <c r="P405" t="str">
        <f t="shared" si="12"/>
        <v>Middle-Aged</v>
      </c>
    </row>
    <row r="406" spans="1:16" x14ac:dyDescent="0.25">
      <c r="A406">
        <v>1405</v>
      </c>
      <c r="B406" s="1">
        <v>45075</v>
      </c>
      <c r="C406" t="s">
        <v>30</v>
      </c>
      <c r="D406" t="s">
        <v>77</v>
      </c>
      <c r="E406" s="3">
        <v>580</v>
      </c>
      <c r="F406" s="3">
        <v>5</v>
      </c>
      <c r="G406" s="3">
        <v>2900</v>
      </c>
      <c r="H406" s="3">
        <v>58</v>
      </c>
      <c r="I406" t="s">
        <v>32</v>
      </c>
      <c r="J406" t="s">
        <v>26</v>
      </c>
      <c r="K406" t="s">
        <v>33</v>
      </c>
      <c r="L406" t="s">
        <v>21</v>
      </c>
      <c r="M406" s="2">
        <v>0.3</v>
      </c>
      <c r="N406" t="s">
        <v>29</v>
      </c>
      <c r="O406" t="str">
        <f t="shared" si="13"/>
        <v>May</v>
      </c>
      <c r="P406" t="str">
        <f t="shared" si="12"/>
        <v>Middle-Aged</v>
      </c>
    </row>
    <row r="407" spans="1:16" x14ac:dyDescent="0.25">
      <c r="A407">
        <v>1406</v>
      </c>
      <c r="B407" s="1">
        <v>45154</v>
      </c>
      <c r="C407" t="s">
        <v>35</v>
      </c>
      <c r="D407" t="s">
        <v>74</v>
      </c>
      <c r="E407" s="3">
        <v>160</v>
      </c>
      <c r="F407" s="3">
        <v>5</v>
      </c>
      <c r="G407" s="3">
        <v>800</v>
      </c>
      <c r="H407" s="3">
        <v>52</v>
      </c>
      <c r="I407" t="s">
        <v>32</v>
      </c>
      <c r="J407" t="s">
        <v>19</v>
      </c>
      <c r="K407" t="s">
        <v>27</v>
      </c>
      <c r="L407" t="s">
        <v>38</v>
      </c>
      <c r="M407" s="2">
        <v>0.15</v>
      </c>
      <c r="N407" t="s">
        <v>29</v>
      </c>
      <c r="O407" t="str">
        <f t="shared" si="13"/>
        <v>August</v>
      </c>
      <c r="P407" t="str">
        <f t="shared" si="12"/>
        <v>Middle-Aged</v>
      </c>
    </row>
    <row r="408" spans="1:16" x14ac:dyDescent="0.25">
      <c r="A408">
        <v>1407</v>
      </c>
      <c r="B408" s="1">
        <v>45267</v>
      </c>
      <c r="C408" t="s">
        <v>16</v>
      </c>
      <c r="D408" t="s">
        <v>56</v>
      </c>
      <c r="E408" s="3">
        <v>373</v>
      </c>
      <c r="F408" s="3">
        <v>3</v>
      </c>
      <c r="G408" s="3">
        <v>1119</v>
      </c>
      <c r="H408" s="3">
        <v>57</v>
      </c>
      <c r="I408" t="s">
        <v>32</v>
      </c>
      <c r="J408" t="s">
        <v>43</v>
      </c>
      <c r="K408" t="s">
        <v>27</v>
      </c>
      <c r="L408" t="s">
        <v>47</v>
      </c>
      <c r="M408" s="2">
        <v>0.25</v>
      </c>
      <c r="N408" t="s">
        <v>22</v>
      </c>
      <c r="O408" t="str">
        <f t="shared" si="13"/>
        <v>December</v>
      </c>
      <c r="P408" t="str">
        <f t="shared" si="12"/>
        <v>Middle-Aged</v>
      </c>
    </row>
    <row r="409" spans="1:16" x14ac:dyDescent="0.25">
      <c r="A409">
        <v>1408</v>
      </c>
      <c r="B409" s="1">
        <v>45287</v>
      </c>
      <c r="C409" t="s">
        <v>52</v>
      </c>
      <c r="D409" t="s">
        <v>67</v>
      </c>
      <c r="E409" s="3">
        <v>500</v>
      </c>
      <c r="F409" s="3">
        <v>3</v>
      </c>
      <c r="G409" s="3">
        <v>1500</v>
      </c>
      <c r="H409" s="3">
        <v>23</v>
      </c>
      <c r="I409" t="s">
        <v>18</v>
      </c>
      <c r="J409" t="s">
        <v>19</v>
      </c>
      <c r="K409" t="s">
        <v>42</v>
      </c>
      <c r="L409" t="s">
        <v>38</v>
      </c>
      <c r="M409" s="2">
        <v>0.25</v>
      </c>
      <c r="N409" t="s">
        <v>29</v>
      </c>
      <c r="O409" t="str">
        <f t="shared" si="13"/>
        <v>December</v>
      </c>
      <c r="P409" t="str">
        <f t="shared" si="12"/>
        <v>Young Adult</v>
      </c>
    </row>
    <row r="410" spans="1:16" x14ac:dyDescent="0.25">
      <c r="A410">
        <v>1409</v>
      </c>
      <c r="B410" s="1">
        <v>44933</v>
      </c>
      <c r="C410" t="s">
        <v>30</v>
      </c>
      <c r="D410" t="s">
        <v>79</v>
      </c>
      <c r="E410" s="3">
        <v>1302</v>
      </c>
      <c r="F410" s="3">
        <v>1</v>
      </c>
      <c r="G410" s="3">
        <v>1302</v>
      </c>
      <c r="H410" s="3">
        <v>39</v>
      </c>
      <c r="I410" t="s">
        <v>32</v>
      </c>
      <c r="J410" t="s">
        <v>51</v>
      </c>
      <c r="K410" t="s">
        <v>42</v>
      </c>
      <c r="L410" t="s">
        <v>21</v>
      </c>
      <c r="M410" s="2">
        <v>0.15</v>
      </c>
      <c r="N410" t="s">
        <v>29</v>
      </c>
      <c r="O410" t="str">
        <f t="shared" si="13"/>
        <v>January</v>
      </c>
      <c r="P410" t="str">
        <f t="shared" si="12"/>
        <v>Adult</v>
      </c>
    </row>
    <row r="411" spans="1:16" x14ac:dyDescent="0.25">
      <c r="A411">
        <v>1410</v>
      </c>
      <c r="B411" s="1">
        <v>45116</v>
      </c>
      <c r="C411" t="s">
        <v>35</v>
      </c>
      <c r="D411" t="s">
        <v>36</v>
      </c>
      <c r="E411" s="3">
        <v>1439</v>
      </c>
      <c r="F411" s="3">
        <v>4</v>
      </c>
      <c r="G411" s="3">
        <v>5756</v>
      </c>
      <c r="H411" s="3">
        <v>33</v>
      </c>
      <c r="I411" t="s">
        <v>18</v>
      </c>
      <c r="J411" t="s">
        <v>60</v>
      </c>
      <c r="K411" t="s">
        <v>33</v>
      </c>
      <c r="L411" t="s">
        <v>21</v>
      </c>
      <c r="M411" s="2">
        <v>0.1</v>
      </c>
      <c r="N411" t="s">
        <v>22</v>
      </c>
      <c r="O411" t="str">
        <f t="shared" si="13"/>
        <v>July</v>
      </c>
      <c r="P411" t="str">
        <f t="shared" si="12"/>
        <v>Adult</v>
      </c>
    </row>
    <row r="412" spans="1:16" x14ac:dyDescent="0.25">
      <c r="A412">
        <v>1411</v>
      </c>
      <c r="B412" s="1">
        <v>45104</v>
      </c>
      <c r="C412" t="s">
        <v>30</v>
      </c>
      <c r="D412" t="s">
        <v>44</v>
      </c>
      <c r="E412" s="3">
        <v>684</v>
      </c>
      <c r="F412" s="3">
        <v>4</v>
      </c>
      <c r="G412" s="3">
        <v>2736</v>
      </c>
      <c r="H412" s="3">
        <v>54</v>
      </c>
      <c r="I412" t="s">
        <v>18</v>
      </c>
      <c r="J412" t="s">
        <v>51</v>
      </c>
      <c r="K412" t="s">
        <v>33</v>
      </c>
      <c r="L412" t="s">
        <v>21</v>
      </c>
      <c r="M412" s="2">
        <v>0.2</v>
      </c>
      <c r="N412" t="s">
        <v>22</v>
      </c>
      <c r="O412" t="str">
        <f t="shared" si="13"/>
        <v>June</v>
      </c>
      <c r="P412" t="str">
        <f t="shared" si="12"/>
        <v>Middle-Aged</v>
      </c>
    </row>
    <row r="413" spans="1:16" x14ac:dyDescent="0.25">
      <c r="A413">
        <v>1412</v>
      </c>
      <c r="B413" s="1">
        <v>45272</v>
      </c>
      <c r="C413" t="s">
        <v>39</v>
      </c>
      <c r="D413" t="s">
        <v>40</v>
      </c>
      <c r="E413" s="3">
        <v>1396</v>
      </c>
      <c r="F413" s="3">
        <v>1</v>
      </c>
      <c r="G413" s="3">
        <v>1396</v>
      </c>
      <c r="H413" s="3">
        <v>30</v>
      </c>
      <c r="I413" t="s">
        <v>18</v>
      </c>
      <c r="J413" t="s">
        <v>58</v>
      </c>
      <c r="K413" t="s">
        <v>20</v>
      </c>
      <c r="L413" t="s">
        <v>21</v>
      </c>
      <c r="M413" s="2">
        <v>0.05</v>
      </c>
      <c r="N413" t="s">
        <v>29</v>
      </c>
      <c r="O413" t="str">
        <f t="shared" si="13"/>
        <v>December</v>
      </c>
      <c r="P413" t="str">
        <f t="shared" si="12"/>
        <v>Adult</v>
      </c>
    </row>
    <row r="414" spans="1:16" x14ac:dyDescent="0.25">
      <c r="A414">
        <v>1413</v>
      </c>
      <c r="B414" s="1">
        <v>45270</v>
      </c>
      <c r="C414" t="s">
        <v>49</v>
      </c>
      <c r="D414" t="s">
        <v>50</v>
      </c>
      <c r="E414" s="3">
        <v>440</v>
      </c>
      <c r="F414" s="3">
        <v>5</v>
      </c>
      <c r="G414" s="3">
        <v>2200</v>
      </c>
      <c r="H414" s="3">
        <v>37</v>
      </c>
      <c r="I414" t="s">
        <v>32</v>
      </c>
      <c r="J414" t="s">
        <v>26</v>
      </c>
      <c r="K414" t="s">
        <v>42</v>
      </c>
      <c r="L414" t="s">
        <v>38</v>
      </c>
      <c r="M414" s="2">
        <v>0.15</v>
      </c>
      <c r="N414" t="s">
        <v>22</v>
      </c>
      <c r="O414" t="str">
        <f t="shared" si="13"/>
        <v>December</v>
      </c>
      <c r="P414" t="str">
        <f t="shared" si="12"/>
        <v>Adult</v>
      </c>
    </row>
    <row r="415" spans="1:16" x14ac:dyDescent="0.25">
      <c r="A415">
        <v>1414</v>
      </c>
      <c r="B415" s="1">
        <v>45281</v>
      </c>
      <c r="C415" t="s">
        <v>24</v>
      </c>
      <c r="D415" t="s">
        <v>76</v>
      </c>
      <c r="E415" s="3">
        <v>44</v>
      </c>
      <c r="F415" s="3">
        <v>2</v>
      </c>
      <c r="G415" s="3">
        <v>88</v>
      </c>
      <c r="H415" s="3">
        <v>60</v>
      </c>
      <c r="I415" t="s">
        <v>32</v>
      </c>
      <c r="J415" t="s">
        <v>63</v>
      </c>
      <c r="K415" t="s">
        <v>20</v>
      </c>
      <c r="L415" t="s">
        <v>38</v>
      </c>
      <c r="M415" s="2">
        <v>0.1</v>
      </c>
      <c r="N415" t="s">
        <v>29</v>
      </c>
      <c r="O415" t="str">
        <f t="shared" si="13"/>
        <v>December</v>
      </c>
      <c r="P415" t="str">
        <f t="shared" si="12"/>
        <v>Middle-Aged</v>
      </c>
    </row>
    <row r="416" spans="1:16" x14ac:dyDescent="0.25">
      <c r="A416">
        <v>1415</v>
      </c>
      <c r="B416" s="1">
        <v>44983</v>
      </c>
      <c r="C416" t="s">
        <v>35</v>
      </c>
      <c r="D416" t="s">
        <v>74</v>
      </c>
      <c r="E416" s="3">
        <v>741</v>
      </c>
      <c r="F416" s="3">
        <v>3</v>
      </c>
      <c r="G416" s="3">
        <v>2223</v>
      </c>
      <c r="H416" s="3">
        <v>21</v>
      </c>
      <c r="I416" t="s">
        <v>32</v>
      </c>
      <c r="J416" t="s">
        <v>26</v>
      </c>
      <c r="K416" t="s">
        <v>20</v>
      </c>
      <c r="L416" t="s">
        <v>34</v>
      </c>
      <c r="M416" s="2">
        <v>0.05</v>
      </c>
      <c r="N416" t="s">
        <v>29</v>
      </c>
      <c r="O416" t="str">
        <f t="shared" si="13"/>
        <v>February</v>
      </c>
      <c r="P416" t="str">
        <f t="shared" si="12"/>
        <v>Young Adult</v>
      </c>
    </row>
    <row r="417" spans="1:16" x14ac:dyDescent="0.25">
      <c r="A417">
        <v>1416</v>
      </c>
      <c r="B417" s="1">
        <v>44995</v>
      </c>
      <c r="C417" t="s">
        <v>39</v>
      </c>
      <c r="D417" t="s">
        <v>46</v>
      </c>
      <c r="E417" s="3">
        <v>1327</v>
      </c>
      <c r="F417" s="3">
        <v>1</v>
      </c>
      <c r="G417" s="3">
        <v>1327</v>
      </c>
      <c r="H417" s="3">
        <v>59</v>
      </c>
      <c r="I417" t="s">
        <v>32</v>
      </c>
      <c r="J417" t="s">
        <v>41</v>
      </c>
      <c r="K417" t="s">
        <v>27</v>
      </c>
      <c r="L417" t="s">
        <v>28</v>
      </c>
      <c r="M417" s="2">
        <v>0.3</v>
      </c>
      <c r="N417" t="s">
        <v>29</v>
      </c>
      <c r="O417" t="str">
        <f t="shared" si="13"/>
        <v>March</v>
      </c>
      <c r="P417" t="str">
        <f t="shared" si="12"/>
        <v>Middle-Aged</v>
      </c>
    </row>
    <row r="418" spans="1:16" x14ac:dyDescent="0.25">
      <c r="A418">
        <v>1417</v>
      </c>
      <c r="B418" s="1">
        <v>45023</v>
      </c>
      <c r="C418" t="s">
        <v>16</v>
      </c>
      <c r="D418" t="s">
        <v>59</v>
      </c>
      <c r="E418" s="3">
        <v>1084</v>
      </c>
      <c r="F418" s="3">
        <v>5</v>
      </c>
      <c r="G418" s="3">
        <v>5420</v>
      </c>
      <c r="H418" s="3">
        <v>50</v>
      </c>
      <c r="I418" t="s">
        <v>32</v>
      </c>
      <c r="J418" t="s">
        <v>58</v>
      </c>
      <c r="K418" t="s">
        <v>20</v>
      </c>
      <c r="L418" t="s">
        <v>34</v>
      </c>
      <c r="M418" s="2">
        <v>0.25</v>
      </c>
      <c r="N418" t="s">
        <v>22</v>
      </c>
      <c r="O418" t="str">
        <f t="shared" si="13"/>
        <v>April</v>
      </c>
      <c r="P418" t="str">
        <f t="shared" si="12"/>
        <v>Middle-Aged</v>
      </c>
    </row>
    <row r="419" spans="1:16" x14ac:dyDescent="0.25">
      <c r="A419">
        <v>1418</v>
      </c>
      <c r="B419" s="1">
        <v>45266</v>
      </c>
      <c r="C419" t="s">
        <v>39</v>
      </c>
      <c r="D419" t="s">
        <v>61</v>
      </c>
      <c r="E419" s="3">
        <v>549</v>
      </c>
      <c r="F419" s="3">
        <v>2</v>
      </c>
      <c r="G419" s="3">
        <v>1098</v>
      </c>
      <c r="H419" s="3">
        <v>42</v>
      </c>
      <c r="I419" t="s">
        <v>18</v>
      </c>
      <c r="J419" t="s">
        <v>51</v>
      </c>
      <c r="K419" t="s">
        <v>20</v>
      </c>
      <c r="L419" t="s">
        <v>34</v>
      </c>
      <c r="M419" s="2">
        <v>0.2</v>
      </c>
      <c r="N419" t="s">
        <v>29</v>
      </c>
      <c r="O419" t="str">
        <f t="shared" si="13"/>
        <v>December</v>
      </c>
      <c r="P419" t="str">
        <f t="shared" si="12"/>
        <v>Adult</v>
      </c>
    </row>
    <row r="420" spans="1:16" x14ac:dyDescent="0.25">
      <c r="A420">
        <v>1419</v>
      </c>
      <c r="B420" s="1">
        <v>45226</v>
      </c>
      <c r="C420" t="s">
        <v>35</v>
      </c>
      <c r="D420" t="s">
        <v>70</v>
      </c>
      <c r="E420" s="3">
        <v>872</v>
      </c>
      <c r="F420" s="3">
        <v>3</v>
      </c>
      <c r="G420" s="3">
        <v>2616</v>
      </c>
      <c r="H420" s="3">
        <v>58</v>
      </c>
      <c r="I420" t="s">
        <v>18</v>
      </c>
      <c r="J420" t="s">
        <v>41</v>
      </c>
      <c r="K420" t="s">
        <v>20</v>
      </c>
      <c r="L420" t="s">
        <v>47</v>
      </c>
      <c r="M420" s="2">
        <v>0.1</v>
      </c>
      <c r="N420" t="s">
        <v>22</v>
      </c>
      <c r="O420" t="str">
        <f t="shared" si="13"/>
        <v>October</v>
      </c>
      <c r="P420" t="str">
        <f t="shared" si="12"/>
        <v>Middle-Aged</v>
      </c>
    </row>
    <row r="421" spans="1:16" x14ac:dyDescent="0.25">
      <c r="A421">
        <v>1420</v>
      </c>
      <c r="B421" s="1">
        <v>45104</v>
      </c>
      <c r="C421" t="s">
        <v>49</v>
      </c>
      <c r="D421" t="s">
        <v>64</v>
      </c>
      <c r="E421" s="3">
        <v>919</v>
      </c>
      <c r="F421" s="3">
        <v>1</v>
      </c>
      <c r="G421" s="3">
        <v>919</v>
      </c>
      <c r="H421" s="3">
        <v>37</v>
      </c>
      <c r="I421" t="s">
        <v>32</v>
      </c>
      <c r="J421" t="s">
        <v>60</v>
      </c>
      <c r="K421" t="s">
        <v>42</v>
      </c>
      <c r="L421" t="s">
        <v>21</v>
      </c>
      <c r="M421" s="2">
        <v>0.25</v>
      </c>
      <c r="N421" t="s">
        <v>29</v>
      </c>
      <c r="O421" t="str">
        <f t="shared" si="13"/>
        <v>June</v>
      </c>
      <c r="P421" t="str">
        <f t="shared" si="12"/>
        <v>Adult</v>
      </c>
    </row>
    <row r="422" spans="1:16" x14ac:dyDescent="0.25">
      <c r="A422">
        <v>1421</v>
      </c>
      <c r="B422" s="1">
        <v>44994</v>
      </c>
      <c r="C422" t="s">
        <v>49</v>
      </c>
      <c r="D422" t="s">
        <v>64</v>
      </c>
      <c r="E422" s="3">
        <v>199</v>
      </c>
      <c r="F422" s="3">
        <v>1</v>
      </c>
      <c r="G422" s="3">
        <v>199</v>
      </c>
      <c r="H422" s="3">
        <v>38</v>
      </c>
      <c r="I422" t="s">
        <v>18</v>
      </c>
      <c r="J422" t="s">
        <v>51</v>
      </c>
      <c r="K422" t="s">
        <v>42</v>
      </c>
      <c r="L422" t="s">
        <v>28</v>
      </c>
      <c r="M422" s="2">
        <v>0.2</v>
      </c>
      <c r="N422" t="s">
        <v>22</v>
      </c>
      <c r="O422" t="str">
        <f t="shared" si="13"/>
        <v>March</v>
      </c>
      <c r="P422" t="str">
        <f t="shared" si="12"/>
        <v>Adult</v>
      </c>
    </row>
    <row r="423" spans="1:16" x14ac:dyDescent="0.25">
      <c r="A423">
        <v>1422</v>
      </c>
      <c r="B423" s="1">
        <v>45099</v>
      </c>
      <c r="C423" t="s">
        <v>30</v>
      </c>
      <c r="D423" t="s">
        <v>79</v>
      </c>
      <c r="E423" s="3">
        <v>610</v>
      </c>
      <c r="F423" s="3">
        <v>2</v>
      </c>
      <c r="G423" s="3">
        <v>1220</v>
      </c>
      <c r="H423" s="3">
        <v>34</v>
      </c>
      <c r="I423" t="s">
        <v>32</v>
      </c>
      <c r="J423" t="s">
        <v>43</v>
      </c>
      <c r="K423" t="s">
        <v>42</v>
      </c>
      <c r="L423" t="s">
        <v>21</v>
      </c>
      <c r="M423" s="2">
        <v>0.2</v>
      </c>
      <c r="N423" t="s">
        <v>29</v>
      </c>
      <c r="O423" t="str">
        <f t="shared" si="13"/>
        <v>June</v>
      </c>
      <c r="P423" t="str">
        <f t="shared" si="12"/>
        <v>Adult</v>
      </c>
    </row>
    <row r="424" spans="1:16" x14ac:dyDescent="0.25">
      <c r="A424">
        <v>1423</v>
      </c>
      <c r="B424" s="1">
        <v>45228</v>
      </c>
      <c r="C424" t="s">
        <v>16</v>
      </c>
      <c r="D424" t="s">
        <v>59</v>
      </c>
      <c r="E424" s="3">
        <v>1100</v>
      </c>
      <c r="F424" s="3">
        <v>3</v>
      </c>
      <c r="G424" s="3">
        <v>3300</v>
      </c>
      <c r="H424" s="3">
        <v>59</v>
      </c>
      <c r="I424" t="s">
        <v>18</v>
      </c>
      <c r="J424" t="s">
        <v>48</v>
      </c>
      <c r="K424" t="s">
        <v>20</v>
      </c>
      <c r="L424" t="s">
        <v>21</v>
      </c>
      <c r="M424" s="2">
        <v>0.05</v>
      </c>
      <c r="N424" t="s">
        <v>22</v>
      </c>
      <c r="O424" t="str">
        <f t="shared" si="13"/>
        <v>October</v>
      </c>
      <c r="P424" t="str">
        <f t="shared" si="12"/>
        <v>Middle-Aged</v>
      </c>
    </row>
    <row r="425" spans="1:16" x14ac:dyDescent="0.25">
      <c r="A425">
        <v>1424</v>
      </c>
      <c r="B425" s="1">
        <v>44973</v>
      </c>
      <c r="C425" t="s">
        <v>39</v>
      </c>
      <c r="D425" t="s">
        <v>46</v>
      </c>
      <c r="E425" s="3">
        <v>1096</v>
      </c>
      <c r="F425" s="3">
        <v>4</v>
      </c>
      <c r="G425" s="3">
        <v>4384</v>
      </c>
      <c r="H425" s="3">
        <v>26</v>
      </c>
      <c r="I425" t="s">
        <v>18</v>
      </c>
      <c r="J425" t="s">
        <v>63</v>
      </c>
      <c r="K425" t="s">
        <v>42</v>
      </c>
      <c r="L425" t="s">
        <v>28</v>
      </c>
      <c r="M425" s="2">
        <v>0.1</v>
      </c>
      <c r="N425" t="s">
        <v>22</v>
      </c>
      <c r="O425" t="str">
        <f t="shared" si="13"/>
        <v>February</v>
      </c>
      <c r="P425" t="str">
        <f t="shared" si="12"/>
        <v>Young Adult</v>
      </c>
    </row>
    <row r="426" spans="1:16" x14ac:dyDescent="0.25">
      <c r="A426">
        <v>1425</v>
      </c>
      <c r="B426" s="1">
        <v>44980</v>
      </c>
      <c r="C426" t="s">
        <v>52</v>
      </c>
      <c r="D426" t="s">
        <v>65</v>
      </c>
      <c r="E426" s="3">
        <v>598</v>
      </c>
      <c r="F426" s="3">
        <v>2</v>
      </c>
      <c r="G426" s="3">
        <v>1196</v>
      </c>
      <c r="H426" s="3">
        <v>51</v>
      </c>
      <c r="I426" t="s">
        <v>18</v>
      </c>
      <c r="J426" t="s">
        <v>51</v>
      </c>
      <c r="K426" t="s">
        <v>33</v>
      </c>
      <c r="L426" t="s">
        <v>21</v>
      </c>
      <c r="M426" s="2">
        <v>0.1</v>
      </c>
      <c r="N426" t="s">
        <v>22</v>
      </c>
      <c r="O426" t="str">
        <f t="shared" si="13"/>
        <v>February</v>
      </c>
      <c r="P426" t="str">
        <f t="shared" si="12"/>
        <v>Middle-Aged</v>
      </c>
    </row>
    <row r="427" spans="1:16" x14ac:dyDescent="0.25">
      <c r="A427">
        <v>1426</v>
      </c>
      <c r="B427" s="1">
        <v>45027</v>
      </c>
      <c r="C427" t="s">
        <v>49</v>
      </c>
      <c r="D427" t="s">
        <v>50</v>
      </c>
      <c r="E427" s="3">
        <v>1441</v>
      </c>
      <c r="F427" s="3">
        <v>1</v>
      </c>
      <c r="G427" s="3">
        <v>1441</v>
      </c>
      <c r="H427" s="3">
        <v>51</v>
      </c>
      <c r="I427" t="s">
        <v>32</v>
      </c>
      <c r="J427" t="s">
        <v>58</v>
      </c>
      <c r="K427" t="s">
        <v>42</v>
      </c>
      <c r="L427" t="s">
        <v>28</v>
      </c>
      <c r="M427" s="2">
        <v>0.2</v>
      </c>
      <c r="N427" t="s">
        <v>29</v>
      </c>
      <c r="O427" t="str">
        <f t="shared" si="13"/>
        <v>April</v>
      </c>
      <c r="P427" t="str">
        <f t="shared" si="12"/>
        <v>Middle-Aged</v>
      </c>
    </row>
    <row r="428" spans="1:16" x14ac:dyDescent="0.25">
      <c r="A428">
        <v>1427</v>
      </c>
      <c r="B428" s="1">
        <v>45247</v>
      </c>
      <c r="C428" t="s">
        <v>30</v>
      </c>
      <c r="D428" t="s">
        <v>77</v>
      </c>
      <c r="E428" s="3">
        <v>1365</v>
      </c>
      <c r="F428" s="3">
        <v>2</v>
      </c>
      <c r="G428" s="3">
        <v>2730</v>
      </c>
      <c r="H428" s="3">
        <v>55</v>
      </c>
      <c r="I428" t="s">
        <v>32</v>
      </c>
      <c r="J428" t="s">
        <v>51</v>
      </c>
      <c r="K428" t="s">
        <v>20</v>
      </c>
      <c r="L428" t="s">
        <v>47</v>
      </c>
      <c r="M428" s="2">
        <v>0.25</v>
      </c>
      <c r="N428" t="s">
        <v>29</v>
      </c>
      <c r="O428" t="str">
        <f t="shared" si="13"/>
        <v>November</v>
      </c>
      <c r="P428" t="str">
        <f t="shared" si="12"/>
        <v>Middle-Aged</v>
      </c>
    </row>
    <row r="429" spans="1:16" x14ac:dyDescent="0.25">
      <c r="A429">
        <v>1428</v>
      </c>
      <c r="B429" s="1">
        <v>45277</v>
      </c>
      <c r="C429" t="s">
        <v>52</v>
      </c>
      <c r="D429" t="s">
        <v>82</v>
      </c>
      <c r="E429" s="3">
        <v>545</v>
      </c>
      <c r="F429" s="3">
        <v>3</v>
      </c>
      <c r="G429" s="3">
        <v>1635</v>
      </c>
      <c r="H429" s="3">
        <v>44</v>
      </c>
      <c r="I429" t="s">
        <v>32</v>
      </c>
      <c r="J429" t="s">
        <v>63</v>
      </c>
      <c r="K429" t="s">
        <v>27</v>
      </c>
      <c r="L429" t="s">
        <v>38</v>
      </c>
      <c r="M429" s="2">
        <v>0.15</v>
      </c>
      <c r="N429" t="s">
        <v>29</v>
      </c>
      <c r="O429" t="str">
        <f t="shared" si="13"/>
        <v>December</v>
      </c>
      <c r="P429" t="str">
        <f t="shared" si="12"/>
        <v>Adult</v>
      </c>
    </row>
    <row r="430" spans="1:16" x14ac:dyDescent="0.25">
      <c r="A430">
        <v>1429</v>
      </c>
      <c r="B430" s="1">
        <v>44952</v>
      </c>
      <c r="C430" t="s">
        <v>49</v>
      </c>
      <c r="D430" t="s">
        <v>57</v>
      </c>
      <c r="E430" s="3">
        <v>908</v>
      </c>
      <c r="F430" s="3">
        <v>1</v>
      </c>
      <c r="G430" s="3">
        <v>908</v>
      </c>
      <c r="H430" s="3">
        <v>55</v>
      </c>
      <c r="I430" t="s">
        <v>18</v>
      </c>
      <c r="J430" t="s">
        <v>43</v>
      </c>
      <c r="K430" t="s">
        <v>20</v>
      </c>
      <c r="L430" t="s">
        <v>21</v>
      </c>
      <c r="M430" s="2">
        <v>0.3</v>
      </c>
      <c r="N430" t="s">
        <v>22</v>
      </c>
      <c r="O430" t="str">
        <f t="shared" si="13"/>
        <v>January</v>
      </c>
      <c r="P430" t="str">
        <f t="shared" si="12"/>
        <v>Middle-Aged</v>
      </c>
    </row>
    <row r="431" spans="1:16" x14ac:dyDescent="0.25">
      <c r="A431">
        <v>1430</v>
      </c>
      <c r="B431" s="1">
        <v>45170</v>
      </c>
      <c r="C431" t="s">
        <v>39</v>
      </c>
      <c r="D431" t="s">
        <v>78</v>
      </c>
      <c r="E431" s="3">
        <v>333</v>
      </c>
      <c r="F431" s="3">
        <v>4</v>
      </c>
      <c r="G431" s="3">
        <v>1332</v>
      </c>
      <c r="H431" s="3">
        <v>32</v>
      </c>
      <c r="I431" t="s">
        <v>18</v>
      </c>
      <c r="J431" t="s">
        <v>58</v>
      </c>
      <c r="K431" t="s">
        <v>42</v>
      </c>
      <c r="L431" t="s">
        <v>38</v>
      </c>
      <c r="M431" s="2">
        <v>0.1</v>
      </c>
      <c r="N431" t="s">
        <v>29</v>
      </c>
      <c r="O431" t="str">
        <f t="shared" si="13"/>
        <v>September</v>
      </c>
      <c r="P431" t="str">
        <f t="shared" si="12"/>
        <v>Adult</v>
      </c>
    </row>
    <row r="432" spans="1:16" x14ac:dyDescent="0.25">
      <c r="A432">
        <v>1431</v>
      </c>
      <c r="B432" s="1">
        <v>45151</v>
      </c>
      <c r="C432" t="s">
        <v>35</v>
      </c>
      <c r="D432" t="s">
        <v>70</v>
      </c>
      <c r="E432" s="3">
        <v>187</v>
      </c>
      <c r="F432" s="3">
        <v>5</v>
      </c>
      <c r="G432" s="3">
        <v>935</v>
      </c>
      <c r="H432" s="3">
        <v>27</v>
      </c>
      <c r="I432" t="s">
        <v>32</v>
      </c>
      <c r="J432" t="s">
        <v>51</v>
      </c>
      <c r="K432" t="s">
        <v>33</v>
      </c>
      <c r="L432" t="s">
        <v>34</v>
      </c>
      <c r="M432" s="2">
        <v>0.1</v>
      </c>
      <c r="N432" t="s">
        <v>29</v>
      </c>
      <c r="O432" t="str">
        <f t="shared" si="13"/>
        <v>August</v>
      </c>
      <c r="P432" t="str">
        <f t="shared" si="12"/>
        <v>Young Adult</v>
      </c>
    </row>
    <row r="433" spans="1:16" x14ac:dyDescent="0.25">
      <c r="A433">
        <v>1432</v>
      </c>
      <c r="B433" s="1">
        <v>45156</v>
      </c>
      <c r="C433" t="s">
        <v>24</v>
      </c>
      <c r="D433" t="s">
        <v>25</v>
      </c>
      <c r="E433" s="3">
        <v>617</v>
      </c>
      <c r="F433" s="3">
        <v>1</v>
      </c>
      <c r="G433" s="3">
        <v>617</v>
      </c>
      <c r="H433" s="3">
        <v>39</v>
      </c>
      <c r="I433" t="s">
        <v>18</v>
      </c>
      <c r="J433" t="s">
        <v>41</v>
      </c>
      <c r="K433" t="s">
        <v>33</v>
      </c>
      <c r="L433" t="s">
        <v>47</v>
      </c>
      <c r="M433" s="2">
        <v>0.3</v>
      </c>
      <c r="N433" t="s">
        <v>29</v>
      </c>
      <c r="O433" t="str">
        <f t="shared" si="13"/>
        <v>August</v>
      </c>
      <c r="P433" t="str">
        <f t="shared" si="12"/>
        <v>Adult</v>
      </c>
    </row>
    <row r="434" spans="1:16" x14ac:dyDescent="0.25">
      <c r="A434">
        <v>1433</v>
      </c>
      <c r="B434" s="1">
        <v>45189</v>
      </c>
      <c r="C434" t="s">
        <v>39</v>
      </c>
      <c r="D434" t="s">
        <v>68</v>
      </c>
      <c r="E434" s="3">
        <v>1178</v>
      </c>
      <c r="F434" s="3">
        <v>5</v>
      </c>
      <c r="G434" s="3">
        <v>5890</v>
      </c>
      <c r="H434" s="3">
        <v>25</v>
      </c>
      <c r="I434" t="s">
        <v>32</v>
      </c>
      <c r="J434" t="s">
        <v>58</v>
      </c>
      <c r="K434" t="s">
        <v>33</v>
      </c>
      <c r="L434" t="s">
        <v>28</v>
      </c>
      <c r="M434" s="2">
        <v>0.15</v>
      </c>
      <c r="N434" t="s">
        <v>29</v>
      </c>
      <c r="O434" t="str">
        <f t="shared" si="13"/>
        <v>September</v>
      </c>
      <c r="P434" t="str">
        <f t="shared" si="12"/>
        <v>Young Adult</v>
      </c>
    </row>
    <row r="435" spans="1:16" x14ac:dyDescent="0.25">
      <c r="A435">
        <v>1434</v>
      </c>
      <c r="B435" s="1">
        <v>45233</v>
      </c>
      <c r="C435" t="s">
        <v>35</v>
      </c>
      <c r="D435" t="s">
        <v>36</v>
      </c>
      <c r="E435" s="3">
        <v>1144</v>
      </c>
      <c r="F435" s="3">
        <v>2</v>
      </c>
      <c r="G435" s="3">
        <v>2288</v>
      </c>
      <c r="H435" s="3">
        <v>42</v>
      </c>
      <c r="I435" t="s">
        <v>18</v>
      </c>
      <c r="J435" t="s">
        <v>43</v>
      </c>
      <c r="K435" t="s">
        <v>20</v>
      </c>
      <c r="L435" t="s">
        <v>34</v>
      </c>
      <c r="M435" s="2">
        <v>0.1</v>
      </c>
      <c r="N435" t="s">
        <v>22</v>
      </c>
      <c r="O435" t="str">
        <f t="shared" si="13"/>
        <v>November</v>
      </c>
      <c r="P435" t="str">
        <f t="shared" si="12"/>
        <v>Adult</v>
      </c>
    </row>
    <row r="436" spans="1:16" x14ac:dyDescent="0.25">
      <c r="A436">
        <v>1435</v>
      </c>
      <c r="B436" s="1">
        <v>45125</v>
      </c>
      <c r="C436" t="s">
        <v>52</v>
      </c>
      <c r="D436" t="s">
        <v>82</v>
      </c>
      <c r="E436" s="3">
        <v>1365</v>
      </c>
      <c r="F436" s="3">
        <v>1</v>
      </c>
      <c r="G436" s="3">
        <v>1365</v>
      </c>
      <c r="H436" s="3">
        <v>34</v>
      </c>
      <c r="I436" t="s">
        <v>18</v>
      </c>
      <c r="J436" t="s">
        <v>48</v>
      </c>
      <c r="K436" t="s">
        <v>20</v>
      </c>
      <c r="L436" t="s">
        <v>38</v>
      </c>
      <c r="M436" s="2">
        <v>0.2</v>
      </c>
      <c r="N436" t="s">
        <v>22</v>
      </c>
      <c r="O436" t="str">
        <f t="shared" si="13"/>
        <v>July</v>
      </c>
      <c r="P436" t="str">
        <f t="shared" si="12"/>
        <v>Adult</v>
      </c>
    </row>
    <row r="437" spans="1:16" x14ac:dyDescent="0.25">
      <c r="A437">
        <v>1436</v>
      </c>
      <c r="B437" s="1">
        <v>45246</v>
      </c>
      <c r="C437" t="s">
        <v>30</v>
      </c>
      <c r="D437" t="s">
        <v>69</v>
      </c>
      <c r="E437" s="3">
        <v>180</v>
      </c>
      <c r="F437" s="3">
        <v>5</v>
      </c>
      <c r="G437" s="3">
        <v>900</v>
      </c>
      <c r="H437" s="3">
        <v>58</v>
      </c>
      <c r="I437" t="s">
        <v>32</v>
      </c>
      <c r="J437" t="s">
        <v>58</v>
      </c>
      <c r="K437" t="s">
        <v>20</v>
      </c>
      <c r="L437" t="s">
        <v>21</v>
      </c>
      <c r="M437" s="2">
        <v>0.3</v>
      </c>
      <c r="N437" t="s">
        <v>29</v>
      </c>
      <c r="O437" t="str">
        <f t="shared" si="13"/>
        <v>November</v>
      </c>
      <c r="P437" t="str">
        <f t="shared" si="12"/>
        <v>Middle-Aged</v>
      </c>
    </row>
    <row r="438" spans="1:16" x14ac:dyDescent="0.25">
      <c r="A438">
        <v>1437</v>
      </c>
      <c r="B438" s="1">
        <v>45142</v>
      </c>
      <c r="C438" t="s">
        <v>24</v>
      </c>
      <c r="D438" t="s">
        <v>54</v>
      </c>
      <c r="E438" s="3">
        <v>288</v>
      </c>
      <c r="F438" s="3">
        <v>1</v>
      </c>
      <c r="G438" s="3">
        <v>288</v>
      </c>
      <c r="H438" s="3">
        <v>36</v>
      </c>
      <c r="I438" t="s">
        <v>18</v>
      </c>
      <c r="J438" t="s">
        <v>60</v>
      </c>
      <c r="K438" t="s">
        <v>27</v>
      </c>
      <c r="L438" t="s">
        <v>47</v>
      </c>
      <c r="M438" s="2">
        <v>0.3</v>
      </c>
      <c r="N438" t="s">
        <v>29</v>
      </c>
      <c r="O438" t="str">
        <f t="shared" si="13"/>
        <v>August</v>
      </c>
      <c r="P438" t="str">
        <f t="shared" si="12"/>
        <v>Adult</v>
      </c>
    </row>
    <row r="439" spans="1:16" x14ac:dyDescent="0.25">
      <c r="A439">
        <v>1438</v>
      </c>
      <c r="B439" s="1">
        <v>45285</v>
      </c>
      <c r="C439" t="s">
        <v>49</v>
      </c>
      <c r="D439" t="s">
        <v>66</v>
      </c>
      <c r="E439" s="3">
        <v>34</v>
      </c>
      <c r="F439" s="3">
        <v>1</v>
      </c>
      <c r="G439" s="3">
        <v>34</v>
      </c>
      <c r="H439" s="3">
        <v>43</v>
      </c>
      <c r="I439" t="s">
        <v>18</v>
      </c>
      <c r="J439" t="s">
        <v>51</v>
      </c>
      <c r="K439" t="s">
        <v>42</v>
      </c>
      <c r="L439" t="s">
        <v>38</v>
      </c>
      <c r="M439" s="2">
        <v>0.25</v>
      </c>
      <c r="N439" t="s">
        <v>29</v>
      </c>
      <c r="O439" t="str">
        <f t="shared" si="13"/>
        <v>December</v>
      </c>
      <c r="P439" t="str">
        <f t="shared" si="12"/>
        <v>Adult</v>
      </c>
    </row>
    <row r="440" spans="1:16" x14ac:dyDescent="0.25">
      <c r="A440">
        <v>1439</v>
      </c>
      <c r="B440" s="1">
        <v>45163</v>
      </c>
      <c r="C440" t="s">
        <v>16</v>
      </c>
      <c r="D440" t="s">
        <v>62</v>
      </c>
      <c r="E440" s="3">
        <v>1250</v>
      </c>
      <c r="F440" s="3">
        <v>2</v>
      </c>
      <c r="G440" s="3">
        <v>2500</v>
      </c>
      <c r="H440" s="3">
        <v>46</v>
      </c>
      <c r="I440" t="s">
        <v>18</v>
      </c>
      <c r="J440" t="s">
        <v>60</v>
      </c>
      <c r="K440" t="s">
        <v>42</v>
      </c>
      <c r="L440" t="s">
        <v>21</v>
      </c>
      <c r="M440" s="2">
        <v>0.3</v>
      </c>
      <c r="N440" t="s">
        <v>29</v>
      </c>
      <c r="O440" t="str">
        <f t="shared" si="13"/>
        <v>August</v>
      </c>
      <c r="P440" t="str">
        <f t="shared" si="12"/>
        <v>Adult</v>
      </c>
    </row>
    <row r="441" spans="1:16" x14ac:dyDescent="0.25">
      <c r="A441">
        <v>1440</v>
      </c>
      <c r="B441" s="1">
        <v>45251</v>
      </c>
      <c r="C441" t="s">
        <v>30</v>
      </c>
      <c r="D441" t="s">
        <v>79</v>
      </c>
      <c r="E441" s="3">
        <v>1271</v>
      </c>
      <c r="F441" s="3">
        <v>5</v>
      </c>
      <c r="G441" s="3">
        <v>6355</v>
      </c>
      <c r="H441" s="3">
        <v>23</v>
      </c>
      <c r="I441" t="s">
        <v>18</v>
      </c>
      <c r="J441" t="s">
        <v>51</v>
      </c>
      <c r="K441" t="s">
        <v>37</v>
      </c>
      <c r="L441" t="s">
        <v>47</v>
      </c>
      <c r="M441" s="2">
        <v>0.15</v>
      </c>
      <c r="N441" t="s">
        <v>29</v>
      </c>
      <c r="O441" t="str">
        <f t="shared" si="13"/>
        <v>November</v>
      </c>
      <c r="P441" t="str">
        <f t="shared" si="12"/>
        <v>Young Adult</v>
      </c>
    </row>
    <row r="442" spans="1:16" x14ac:dyDescent="0.25">
      <c r="A442">
        <v>1441</v>
      </c>
      <c r="B442" s="1">
        <v>45077</v>
      </c>
      <c r="C442" t="s">
        <v>16</v>
      </c>
      <c r="D442" t="s">
        <v>83</v>
      </c>
      <c r="E442" s="3">
        <v>242</v>
      </c>
      <c r="F442" s="3">
        <v>2</v>
      </c>
      <c r="G442" s="3">
        <v>484</v>
      </c>
      <c r="H442" s="3">
        <v>39</v>
      </c>
      <c r="I442" t="s">
        <v>32</v>
      </c>
      <c r="J442" t="s">
        <v>19</v>
      </c>
      <c r="K442" t="s">
        <v>33</v>
      </c>
      <c r="L442" t="s">
        <v>38</v>
      </c>
      <c r="M442" s="2">
        <v>0.05</v>
      </c>
      <c r="N442" t="s">
        <v>29</v>
      </c>
      <c r="O442" t="str">
        <f t="shared" si="13"/>
        <v>May</v>
      </c>
      <c r="P442" t="str">
        <f t="shared" si="12"/>
        <v>Adult</v>
      </c>
    </row>
    <row r="443" spans="1:16" x14ac:dyDescent="0.25">
      <c r="A443">
        <v>1442</v>
      </c>
      <c r="B443" s="1">
        <v>44943</v>
      </c>
      <c r="C443" t="s">
        <v>35</v>
      </c>
      <c r="D443" t="s">
        <v>75</v>
      </c>
      <c r="E443" s="3">
        <v>150</v>
      </c>
      <c r="F443" s="3">
        <v>2</v>
      </c>
      <c r="G443" s="3">
        <v>300</v>
      </c>
      <c r="H443" s="3">
        <v>27</v>
      </c>
      <c r="I443" t="s">
        <v>18</v>
      </c>
      <c r="J443" t="s">
        <v>63</v>
      </c>
      <c r="K443" t="s">
        <v>33</v>
      </c>
      <c r="L443" t="s">
        <v>34</v>
      </c>
      <c r="M443" s="2">
        <v>0.3</v>
      </c>
      <c r="N443" t="s">
        <v>22</v>
      </c>
      <c r="O443" t="str">
        <f t="shared" si="13"/>
        <v>January</v>
      </c>
      <c r="P443" t="str">
        <f t="shared" si="12"/>
        <v>Young Adult</v>
      </c>
    </row>
    <row r="444" spans="1:16" x14ac:dyDescent="0.25">
      <c r="A444">
        <v>1443</v>
      </c>
      <c r="B444" s="1">
        <v>44971</v>
      </c>
      <c r="C444" t="s">
        <v>49</v>
      </c>
      <c r="D444" t="s">
        <v>66</v>
      </c>
      <c r="E444" s="3">
        <v>463</v>
      </c>
      <c r="F444" s="3">
        <v>4</v>
      </c>
      <c r="G444" s="3">
        <v>1852</v>
      </c>
      <c r="H444" s="3">
        <v>36</v>
      </c>
      <c r="I444" t="s">
        <v>32</v>
      </c>
      <c r="J444" t="s">
        <v>55</v>
      </c>
      <c r="K444" t="s">
        <v>45</v>
      </c>
      <c r="L444" t="s">
        <v>34</v>
      </c>
      <c r="M444" s="2">
        <v>0.15</v>
      </c>
      <c r="N444" t="s">
        <v>22</v>
      </c>
      <c r="O444" t="str">
        <f t="shared" si="13"/>
        <v>February</v>
      </c>
      <c r="P444" t="str">
        <f t="shared" si="12"/>
        <v>Adult</v>
      </c>
    </row>
    <row r="445" spans="1:16" x14ac:dyDescent="0.25">
      <c r="A445">
        <v>1444</v>
      </c>
      <c r="B445" s="1">
        <v>45196</v>
      </c>
      <c r="C445" t="s">
        <v>35</v>
      </c>
      <c r="D445" t="s">
        <v>36</v>
      </c>
      <c r="E445" s="3">
        <v>604</v>
      </c>
      <c r="F445" s="3">
        <v>4</v>
      </c>
      <c r="G445" s="3">
        <v>2416</v>
      </c>
      <c r="H445" s="3">
        <v>24</v>
      </c>
      <c r="I445" t="s">
        <v>32</v>
      </c>
      <c r="J445" t="s">
        <v>41</v>
      </c>
      <c r="K445" t="s">
        <v>20</v>
      </c>
      <c r="L445" t="s">
        <v>28</v>
      </c>
      <c r="M445" s="2">
        <v>0.3</v>
      </c>
      <c r="N445" t="s">
        <v>29</v>
      </c>
      <c r="O445" t="str">
        <f t="shared" si="13"/>
        <v>September</v>
      </c>
      <c r="P445" t="str">
        <f t="shared" si="12"/>
        <v>Young Adult</v>
      </c>
    </row>
    <row r="446" spans="1:16" x14ac:dyDescent="0.25">
      <c r="A446">
        <v>1445</v>
      </c>
      <c r="B446" s="1">
        <v>45229</v>
      </c>
      <c r="C446" t="s">
        <v>39</v>
      </c>
      <c r="D446" t="s">
        <v>78</v>
      </c>
      <c r="E446" s="3">
        <v>1452</v>
      </c>
      <c r="F446" s="3">
        <v>2</v>
      </c>
      <c r="G446" s="3">
        <v>2904</v>
      </c>
      <c r="H446" s="3">
        <v>55</v>
      </c>
      <c r="I446" t="s">
        <v>32</v>
      </c>
      <c r="J446" t="s">
        <v>48</v>
      </c>
      <c r="K446" t="s">
        <v>42</v>
      </c>
      <c r="L446" t="s">
        <v>47</v>
      </c>
      <c r="M446" s="2">
        <v>0.1</v>
      </c>
      <c r="N446" t="s">
        <v>29</v>
      </c>
      <c r="O446" t="str">
        <f t="shared" si="13"/>
        <v>October</v>
      </c>
      <c r="P446" t="str">
        <f t="shared" si="12"/>
        <v>Middle-Aged</v>
      </c>
    </row>
    <row r="447" spans="1:16" x14ac:dyDescent="0.25">
      <c r="A447">
        <v>1446</v>
      </c>
      <c r="B447" s="1">
        <v>45313</v>
      </c>
      <c r="C447" t="s">
        <v>49</v>
      </c>
      <c r="D447" t="s">
        <v>64</v>
      </c>
      <c r="E447" s="3">
        <v>398</v>
      </c>
      <c r="F447" s="3">
        <v>1</v>
      </c>
      <c r="G447" s="3">
        <v>398</v>
      </c>
      <c r="H447" s="3">
        <v>21</v>
      </c>
      <c r="I447" t="s">
        <v>18</v>
      </c>
      <c r="J447" t="s">
        <v>48</v>
      </c>
      <c r="K447" t="s">
        <v>42</v>
      </c>
      <c r="L447" t="s">
        <v>38</v>
      </c>
      <c r="M447" s="2">
        <v>0.25</v>
      </c>
      <c r="N447" t="s">
        <v>29</v>
      </c>
      <c r="O447" t="str">
        <f t="shared" si="13"/>
        <v>January</v>
      </c>
      <c r="P447" t="str">
        <f t="shared" si="12"/>
        <v>Young Adult</v>
      </c>
    </row>
    <row r="448" spans="1:16" x14ac:dyDescent="0.25">
      <c r="A448">
        <v>1447</v>
      </c>
      <c r="B448" s="1">
        <v>44957</v>
      </c>
      <c r="C448" t="s">
        <v>39</v>
      </c>
      <c r="D448" t="s">
        <v>46</v>
      </c>
      <c r="E448" s="3">
        <v>340</v>
      </c>
      <c r="F448" s="3">
        <v>4</v>
      </c>
      <c r="G448" s="3">
        <v>1360</v>
      </c>
      <c r="H448" s="3">
        <v>31</v>
      </c>
      <c r="I448" t="s">
        <v>18</v>
      </c>
      <c r="J448" t="s">
        <v>55</v>
      </c>
      <c r="K448" t="s">
        <v>37</v>
      </c>
      <c r="L448" t="s">
        <v>34</v>
      </c>
      <c r="M448" s="2">
        <v>0.2</v>
      </c>
      <c r="N448" t="s">
        <v>29</v>
      </c>
      <c r="O448" t="str">
        <f t="shared" si="13"/>
        <v>January</v>
      </c>
      <c r="P448" t="str">
        <f t="shared" si="12"/>
        <v>Adult</v>
      </c>
    </row>
    <row r="449" spans="1:16" x14ac:dyDescent="0.25">
      <c r="A449">
        <v>1448</v>
      </c>
      <c r="B449" s="1">
        <v>45314</v>
      </c>
      <c r="C449" t="s">
        <v>35</v>
      </c>
      <c r="D449" t="s">
        <v>72</v>
      </c>
      <c r="E449" s="3">
        <v>896</v>
      </c>
      <c r="F449" s="3">
        <v>2</v>
      </c>
      <c r="G449" s="3">
        <v>1792</v>
      </c>
      <c r="H449" s="3">
        <v>60</v>
      </c>
      <c r="I449" t="s">
        <v>32</v>
      </c>
      <c r="J449" t="s">
        <v>26</v>
      </c>
      <c r="K449" t="s">
        <v>37</v>
      </c>
      <c r="L449" t="s">
        <v>21</v>
      </c>
      <c r="M449" s="2">
        <v>0.15</v>
      </c>
      <c r="N449" t="s">
        <v>22</v>
      </c>
      <c r="O449" t="str">
        <f t="shared" si="13"/>
        <v>January</v>
      </c>
      <c r="P449" t="str">
        <f t="shared" si="12"/>
        <v>Middle-Aged</v>
      </c>
    </row>
    <row r="450" spans="1:16" x14ac:dyDescent="0.25">
      <c r="A450">
        <v>1449</v>
      </c>
      <c r="B450" s="1">
        <v>45094</v>
      </c>
      <c r="C450" t="s">
        <v>35</v>
      </c>
      <c r="D450" t="s">
        <v>70</v>
      </c>
      <c r="E450" s="3">
        <v>126</v>
      </c>
      <c r="F450" s="3">
        <v>2</v>
      </c>
      <c r="G450" s="3">
        <v>252</v>
      </c>
      <c r="H450" s="3">
        <v>31</v>
      </c>
      <c r="I450" t="s">
        <v>32</v>
      </c>
      <c r="J450" t="s">
        <v>48</v>
      </c>
      <c r="K450" t="s">
        <v>33</v>
      </c>
      <c r="L450" t="s">
        <v>47</v>
      </c>
      <c r="M450" s="2">
        <v>0.2</v>
      </c>
      <c r="N450" t="s">
        <v>29</v>
      </c>
      <c r="O450" t="str">
        <f t="shared" si="13"/>
        <v>June</v>
      </c>
      <c r="P450" t="str">
        <f t="shared" ref="P450:P513" si="14">IF(H450&lt;13, "Child", IF(H450&lt;18, "Teen", IF(H450&lt;30, "Young Adult", IF(H450&lt;50, "Adult", IF(H450&lt;65, "Middle-Aged", "Senior")))))</f>
        <v>Adult</v>
      </c>
    </row>
    <row r="451" spans="1:16" x14ac:dyDescent="0.25">
      <c r="A451">
        <v>1450</v>
      </c>
      <c r="B451" s="1">
        <v>45025</v>
      </c>
      <c r="C451" t="s">
        <v>30</v>
      </c>
      <c r="D451" t="s">
        <v>31</v>
      </c>
      <c r="E451" s="3">
        <v>929</v>
      </c>
      <c r="F451" s="3">
        <v>4</v>
      </c>
      <c r="G451" s="3">
        <v>3716</v>
      </c>
      <c r="H451" s="3">
        <v>47</v>
      </c>
      <c r="I451" t="s">
        <v>32</v>
      </c>
      <c r="J451" t="s">
        <v>60</v>
      </c>
      <c r="K451" t="s">
        <v>33</v>
      </c>
      <c r="L451" t="s">
        <v>47</v>
      </c>
      <c r="M451" s="2">
        <v>0.1</v>
      </c>
      <c r="N451" t="s">
        <v>22</v>
      </c>
      <c r="O451" t="str">
        <f t="shared" ref="O451:O514" si="15">TEXT(B451, "MMMM")</f>
        <v>April</v>
      </c>
      <c r="P451" t="str">
        <f t="shared" si="14"/>
        <v>Adult</v>
      </c>
    </row>
    <row r="452" spans="1:16" x14ac:dyDescent="0.25">
      <c r="A452">
        <v>1451</v>
      </c>
      <c r="B452" s="1">
        <v>44952</v>
      </c>
      <c r="C452" t="s">
        <v>24</v>
      </c>
      <c r="D452" t="s">
        <v>76</v>
      </c>
      <c r="E452" s="3">
        <v>607</v>
      </c>
      <c r="F452" s="3">
        <v>3</v>
      </c>
      <c r="G452" s="3">
        <v>1821</v>
      </c>
      <c r="H452" s="3">
        <v>52</v>
      </c>
      <c r="I452" t="s">
        <v>32</v>
      </c>
      <c r="J452" t="s">
        <v>55</v>
      </c>
      <c r="K452" t="s">
        <v>27</v>
      </c>
      <c r="L452" t="s">
        <v>47</v>
      </c>
      <c r="M452" s="2">
        <v>0.2</v>
      </c>
      <c r="N452" t="s">
        <v>22</v>
      </c>
      <c r="O452" t="str">
        <f t="shared" si="15"/>
        <v>January</v>
      </c>
      <c r="P452" t="str">
        <f t="shared" si="14"/>
        <v>Middle-Aged</v>
      </c>
    </row>
    <row r="453" spans="1:16" x14ac:dyDescent="0.25">
      <c r="A453">
        <v>1452</v>
      </c>
      <c r="B453" s="1">
        <v>45327</v>
      </c>
      <c r="C453" t="s">
        <v>35</v>
      </c>
      <c r="D453" t="s">
        <v>70</v>
      </c>
      <c r="E453" s="3">
        <v>914</v>
      </c>
      <c r="F453" s="3">
        <v>2</v>
      </c>
      <c r="G453" s="3">
        <v>1828</v>
      </c>
      <c r="H453" s="3">
        <v>45</v>
      </c>
      <c r="I453" t="s">
        <v>18</v>
      </c>
      <c r="J453" t="s">
        <v>48</v>
      </c>
      <c r="K453" t="s">
        <v>37</v>
      </c>
      <c r="L453" t="s">
        <v>47</v>
      </c>
      <c r="M453" s="2">
        <v>0.15</v>
      </c>
      <c r="N453" t="s">
        <v>22</v>
      </c>
      <c r="O453" t="str">
        <f t="shared" si="15"/>
        <v>February</v>
      </c>
      <c r="P453" t="str">
        <f t="shared" si="14"/>
        <v>Adult</v>
      </c>
    </row>
    <row r="454" spans="1:16" x14ac:dyDescent="0.25">
      <c r="A454">
        <v>1453</v>
      </c>
      <c r="B454" s="1">
        <v>45287</v>
      </c>
      <c r="C454" t="s">
        <v>52</v>
      </c>
      <c r="D454" t="s">
        <v>82</v>
      </c>
      <c r="E454" s="3">
        <v>535</v>
      </c>
      <c r="F454" s="3">
        <v>4</v>
      </c>
      <c r="G454" s="3">
        <v>2140</v>
      </c>
      <c r="H454" s="3">
        <v>28</v>
      </c>
      <c r="I454" t="s">
        <v>32</v>
      </c>
      <c r="J454" t="s">
        <v>43</v>
      </c>
      <c r="K454" t="s">
        <v>27</v>
      </c>
      <c r="L454" t="s">
        <v>38</v>
      </c>
      <c r="M454" s="2">
        <v>0.2</v>
      </c>
      <c r="N454" t="s">
        <v>22</v>
      </c>
      <c r="O454" t="str">
        <f t="shared" si="15"/>
        <v>December</v>
      </c>
      <c r="P454" t="str">
        <f t="shared" si="14"/>
        <v>Young Adult</v>
      </c>
    </row>
    <row r="455" spans="1:16" x14ac:dyDescent="0.25">
      <c r="A455">
        <v>1454</v>
      </c>
      <c r="B455" s="1">
        <v>44982</v>
      </c>
      <c r="C455" t="s">
        <v>30</v>
      </c>
      <c r="D455" t="s">
        <v>31</v>
      </c>
      <c r="E455" s="3">
        <v>1092</v>
      </c>
      <c r="F455" s="3">
        <v>3</v>
      </c>
      <c r="G455" s="3">
        <v>3276</v>
      </c>
      <c r="H455" s="3">
        <v>56</v>
      </c>
      <c r="I455" t="s">
        <v>32</v>
      </c>
      <c r="J455" t="s">
        <v>55</v>
      </c>
      <c r="K455" t="s">
        <v>42</v>
      </c>
      <c r="L455" t="s">
        <v>38</v>
      </c>
      <c r="M455" s="2">
        <v>0.15</v>
      </c>
      <c r="N455" t="s">
        <v>22</v>
      </c>
      <c r="O455" t="str">
        <f t="shared" si="15"/>
        <v>February</v>
      </c>
      <c r="P455" t="str">
        <f t="shared" si="14"/>
        <v>Middle-Aged</v>
      </c>
    </row>
    <row r="456" spans="1:16" x14ac:dyDescent="0.25">
      <c r="A456">
        <v>1455</v>
      </c>
      <c r="B456" s="1">
        <v>45177</v>
      </c>
      <c r="C456" t="s">
        <v>49</v>
      </c>
      <c r="D456" t="s">
        <v>57</v>
      </c>
      <c r="E456" s="3">
        <v>169</v>
      </c>
      <c r="F456" s="3">
        <v>4</v>
      </c>
      <c r="G456" s="3">
        <v>676</v>
      </c>
      <c r="H456" s="3">
        <v>26</v>
      </c>
      <c r="I456" t="s">
        <v>18</v>
      </c>
      <c r="J456" t="s">
        <v>26</v>
      </c>
      <c r="K456" t="s">
        <v>27</v>
      </c>
      <c r="L456" t="s">
        <v>38</v>
      </c>
      <c r="M456" s="2">
        <v>0.15</v>
      </c>
      <c r="N456" t="s">
        <v>22</v>
      </c>
      <c r="O456" t="str">
        <f t="shared" si="15"/>
        <v>September</v>
      </c>
      <c r="P456" t="str">
        <f t="shared" si="14"/>
        <v>Young Adult</v>
      </c>
    </row>
    <row r="457" spans="1:16" x14ac:dyDescent="0.25">
      <c r="A457">
        <v>1456</v>
      </c>
      <c r="B457" s="1">
        <v>45233</v>
      </c>
      <c r="C457" t="s">
        <v>30</v>
      </c>
      <c r="D457" t="s">
        <v>69</v>
      </c>
      <c r="E457" s="3">
        <v>906</v>
      </c>
      <c r="F457" s="3">
        <v>3</v>
      </c>
      <c r="G457" s="3">
        <v>2718</v>
      </c>
      <c r="H457" s="3">
        <v>40</v>
      </c>
      <c r="I457" t="s">
        <v>32</v>
      </c>
      <c r="J457" t="s">
        <v>41</v>
      </c>
      <c r="K457" t="s">
        <v>45</v>
      </c>
      <c r="L457" t="s">
        <v>34</v>
      </c>
      <c r="M457" s="2">
        <v>0.15</v>
      </c>
      <c r="N457" t="s">
        <v>22</v>
      </c>
      <c r="O457" t="str">
        <f t="shared" si="15"/>
        <v>November</v>
      </c>
      <c r="P457" t="str">
        <f t="shared" si="14"/>
        <v>Adult</v>
      </c>
    </row>
    <row r="458" spans="1:16" x14ac:dyDescent="0.25">
      <c r="A458">
        <v>1457</v>
      </c>
      <c r="B458" s="1">
        <v>45173</v>
      </c>
      <c r="C458" t="s">
        <v>39</v>
      </c>
      <c r="D458" t="s">
        <v>78</v>
      </c>
      <c r="E458" s="3">
        <v>707</v>
      </c>
      <c r="F458" s="3">
        <v>4</v>
      </c>
      <c r="G458" s="3">
        <v>2828</v>
      </c>
      <c r="H458" s="3">
        <v>55</v>
      </c>
      <c r="I458" t="s">
        <v>18</v>
      </c>
      <c r="J458" t="s">
        <v>26</v>
      </c>
      <c r="K458" t="s">
        <v>33</v>
      </c>
      <c r="L458" t="s">
        <v>47</v>
      </c>
      <c r="M458" s="2">
        <v>0.05</v>
      </c>
      <c r="N458" t="s">
        <v>22</v>
      </c>
      <c r="O458" t="str">
        <f t="shared" si="15"/>
        <v>September</v>
      </c>
      <c r="P458" t="str">
        <f t="shared" si="14"/>
        <v>Middle-Aged</v>
      </c>
    </row>
    <row r="459" spans="1:16" x14ac:dyDescent="0.25">
      <c r="A459">
        <v>1458</v>
      </c>
      <c r="B459" s="1">
        <v>45081</v>
      </c>
      <c r="C459" t="s">
        <v>52</v>
      </c>
      <c r="D459" t="s">
        <v>65</v>
      </c>
      <c r="E459" s="3">
        <v>322</v>
      </c>
      <c r="F459" s="3">
        <v>3</v>
      </c>
      <c r="G459" s="3">
        <v>966</v>
      </c>
      <c r="H459" s="3">
        <v>55</v>
      </c>
      <c r="I459" t="s">
        <v>32</v>
      </c>
      <c r="J459" t="s">
        <v>51</v>
      </c>
      <c r="K459" t="s">
        <v>42</v>
      </c>
      <c r="L459" t="s">
        <v>21</v>
      </c>
      <c r="M459" s="2">
        <v>0.3</v>
      </c>
      <c r="N459" t="s">
        <v>22</v>
      </c>
      <c r="O459" t="str">
        <f t="shared" si="15"/>
        <v>June</v>
      </c>
      <c r="P459" t="str">
        <f t="shared" si="14"/>
        <v>Middle-Aged</v>
      </c>
    </row>
    <row r="460" spans="1:16" x14ac:dyDescent="0.25">
      <c r="A460">
        <v>1459</v>
      </c>
      <c r="B460" s="1">
        <v>45049</v>
      </c>
      <c r="C460" t="s">
        <v>30</v>
      </c>
      <c r="D460" t="s">
        <v>69</v>
      </c>
      <c r="E460" s="3">
        <v>1072</v>
      </c>
      <c r="F460" s="3">
        <v>1</v>
      </c>
      <c r="G460" s="3">
        <v>1072</v>
      </c>
      <c r="H460" s="3">
        <v>37</v>
      </c>
      <c r="I460" t="s">
        <v>32</v>
      </c>
      <c r="J460" t="s">
        <v>41</v>
      </c>
      <c r="K460" t="s">
        <v>45</v>
      </c>
      <c r="L460" t="s">
        <v>38</v>
      </c>
      <c r="M460" s="2">
        <v>0.3</v>
      </c>
      <c r="N460" t="s">
        <v>29</v>
      </c>
      <c r="O460" t="str">
        <f t="shared" si="15"/>
        <v>May</v>
      </c>
      <c r="P460" t="str">
        <f t="shared" si="14"/>
        <v>Adult</v>
      </c>
    </row>
    <row r="461" spans="1:16" x14ac:dyDescent="0.25">
      <c r="A461">
        <v>1460</v>
      </c>
      <c r="B461" s="1">
        <v>45127</v>
      </c>
      <c r="C461" t="s">
        <v>52</v>
      </c>
      <c r="D461" t="s">
        <v>73</v>
      </c>
      <c r="E461" s="3">
        <v>912</v>
      </c>
      <c r="F461" s="3">
        <v>4</v>
      </c>
      <c r="G461" s="3">
        <v>3648</v>
      </c>
      <c r="H461" s="3">
        <v>44</v>
      </c>
      <c r="I461" t="s">
        <v>18</v>
      </c>
      <c r="J461" t="s">
        <v>63</v>
      </c>
      <c r="K461" t="s">
        <v>37</v>
      </c>
      <c r="L461" t="s">
        <v>28</v>
      </c>
      <c r="M461" s="2">
        <v>0.2</v>
      </c>
      <c r="N461" t="s">
        <v>29</v>
      </c>
      <c r="O461" t="str">
        <f t="shared" si="15"/>
        <v>July</v>
      </c>
      <c r="P461" t="str">
        <f t="shared" si="14"/>
        <v>Adult</v>
      </c>
    </row>
    <row r="462" spans="1:16" x14ac:dyDescent="0.25">
      <c r="A462">
        <v>1461</v>
      </c>
      <c r="B462" s="1">
        <v>44931</v>
      </c>
      <c r="C462" t="s">
        <v>35</v>
      </c>
      <c r="D462" t="s">
        <v>36</v>
      </c>
      <c r="E462" s="3">
        <v>1410</v>
      </c>
      <c r="F462" s="3">
        <v>1</v>
      </c>
      <c r="G462" s="3">
        <v>1410</v>
      </c>
      <c r="H462" s="3">
        <v>37</v>
      </c>
      <c r="I462" t="s">
        <v>18</v>
      </c>
      <c r="J462" t="s">
        <v>58</v>
      </c>
      <c r="K462" t="s">
        <v>42</v>
      </c>
      <c r="L462" t="s">
        <v>21</v>
      </c>
      <c r="M462" s="2">
        <v>0.2</v>
      </c>
      <c r="N462" t="s">
        <v>29</v>
      </c>
      <c r="O462" t="str">
        <f t="shared" si="15"/>
        <v>January</v>
      </c>
      <c r="P462" t="str">
        <f t="shared" si="14"/>
        <v>Adult</v>
      </c>
    </row>
    <row r="463" spans="1:16" x14ac:dyDescent="0.25">
      <c r="A463">
        <v>1462</v>
      </c>
      <c r="B463" s="1">
        <v>45175</v>
      </c>
      <c r="C463" t="s">
        <v>52</v>
      </c>
      <c r="D463" t="s">
        <v>82</v>
      </c>
      <c r="E463" s="3">
        <v>1442</v>
      </c>
      <c r="F463" s="3">
        <v>4</v>
      </c>
      <c r="G463" s="3">
        <v>5768</v>
      </c>
      <c r="H463" s="3">
        <v>39</v>
      </c>
      <c r="I463" t="s">
        <v>18</v>
      </c>
      <c r="J463" t="s">
        <v>19</v>
      </c>
      <c r="K463" t="s">
        <v>33</v>
      </c>
      <c r="L463" t="s">
        <v>21</v>
      </c>
      <c r="M463" s="2">
        <v>0.25</v>
      </c>
      <c r="N463" t="s">
        <v>22</v>
      </c>
      <c r="O463" t="str">
        <f t="shared" si="15"/>
        <v>September</v>
      </c>
      <c r="P463" t="str">
        <f t="shared" si="14"/>
        <v>Adult</v>
      </c>
    </row>
    <row r="464" spans="1:16" x14ac:dyDescent="0.25">
      <c r="A464">
        <v>1463</v>
      </c>
      <c r="B464" s="1">
        <v>45069</v>
      </c>
      <c r="C464" t="s">
        <v>30</v>
      </c>
      <c r="D464" t="s">
        <v>79</v>
      </c>
      <c r="E464" s="3">
        <v>24</v>
      </c>
      <c r="F464" s="3">
        <v>5</v>
      </c>
      <c r="G464" s="3">
        <v>120</v>
      </c>
      <c r="H464" s="3">
        <v>35</v>
      </c>
      <c r="I464" t="s">
        <v>18</v>
      </c>
      <c r="J464" t="s">
        <v>63</v>
      </c>
      <c r="K464" t="s">
        <v>33</v>
      </c>
      <c r="L464" t="s">
        <v>34</v>
      </c>
      <c r="M464" s="2">
        <v>0.05</v>
      </c>
      <c r="N464" t="s">
        <v>22</v>
      </c>
      <c r="O464" t="str">
        <f t="shared" si="15"/>
        <v>May</v>
      </c>
      <c r="P464" t="str">
        <f t="shared" si="14"/>
        <v>Adult</v>
      </c>
    </row>
    <row r="465" spans="1:16" x14ac:dyDescent="0.25">
      <c r="A465">
        <v>1464</v>
      </c>
      <c r="B465" s="1">
        <v>45256</v>
      </c>
      <c r="C465" t="s">
        <v>39</v>
      </c>
      <c r="D465" t="s">
        <v>78</v>
      </c>
      <c r="E465" s="3">
        <v>673</v>
      </c>
      <c r="F465" s="3">
        <v>2</v>
      </c>
      <c r="G465" s="3">
        <v>1346</v>
      </c>
      <c r="H465" s="3">
        <v>36</v>
      </c>
      <c r="I465" t="s">
        <v>18</v>
      </c>
      <c r="J465" t="s">
        <v>60</v>
      </c>
      <c r="K465" t="s">
        <v>20</v>
      </c>
      <c r="L465" t="s">
        <v>47</v>
      </c>
      <c r="M465" s="2">
        <v>0.25</v>
      </c>
      <c r="N465" t="s">
        <v>22</v>
      </c>
      <c r="O465" t="str">
        <f t="shared" si="15"/>
        <v>November</v>
      </c>
      <c r="P465" t="str">
        <f t="shared" si="14"/>
        <v>Adult</v>
      </c>
    </row>
    <row r="466" spans="1:16" x14ac:dyDescent="0.25">
      <c r="A466">
        <v>1465</v>
      </c>
      <c r="B466" s="1">
        <v>45228</v>
      </c>
      <c r="C466" t="s">
        <v>39</v>
      </c>
      <c r="D466" t="s">
        <v>78</v>
      </c>
      <c r="E466" s="3">
        <v>1189</v>
      </c>
      <c r="F466" s="3">
        <v>1</v>
      </c>
      <c r="G466" s="3">
        <v>1189</v>
      </c>
      <c r="H466" s="3">
        <v>57</v>
      </c>
      <c r="I466" t="s">
        <v>18</v>
      </c>
      <c r="J466" t="s">
        <v>26</v>
      </c>
      <c r="K466" t="s">
        <v>37</v>
      </c>
      <c r="L466" t="s">
        <v>28</v>
      </c>
      <c r="M466" s="2">
        <v>0.3</v>
      </c>
      <c r="N466" t="s">
        <v>22</v>
      </c>
      <c r="O466" t="str">
        <f t="shared" si="15"/>
        <v>October</v>
      </c>
      <c r="P466" t="str">
        <f t="shared" si="14"/>
        <v>Middle-Aged</v>
      </c>
    </row>
    <row r="467" spans="1:16" x14ac:dyDescent="0.25">
      <c r="A467">
        <v>1466</v>
      </c>
      <c r="B467" s="1">
        <v>45064</v>
      </c>
      <c r="C467" t="s">
        <v>52</v>
      </c>
      <c r="D467" t="s">
        <v>53</v>
      </c>
      <c r="E467" s="3">
        <v>671</v>
      </c>
      <c r="F467" s="3">
        <v>4</v>
      </c>
      <c r="G467" s="3">
        <v>2684</v>
      </c>
      <c r="H467" s="3">
        <v>58</v>
      </c>
      <c r="I467" t="s">
        <v>32</v>
      </c>
      <c r="J467" t="s">
        <v>48</v>
      </c>
      <c r="K467" t="s">
        <v>45</v>
      </c>
      <c r="L467" t="s">
        <v>38</v>
      </c>
      <c r="M467" s="2">
        <v>0.2</v>
      </c>
      <c r="N467" t="s">
        <v>29</v>
      </c>
      <c r="O467" t="str">
        <f t="shared" si="15"/>
        <v>May</v>
      </c>
      <c r="P467" t="str">
        <f t="shared" si="14"/>
        <v>Middle-Aged</v>
      </c>
    </row>
    <row r="468" spans="1:16" x14ac:dyDescent="0.25">
      <c r="A468">
        <v>1467</v>
      </c>
      <c r="B468" s="1">
        <v>45146</v>
      </c>
      <c r="C468" t="s">
        <v>16</v>
      </c>
      <c r="D468" t="s">
        <v>56</v>
      </c>
      <c r="E468" s="3">
        <v>1053</v>
      </c>
      <c r="F468" s="3">
        <v>2</v>
      </c>
      <c r="G468" s="3">
        <v>2106</v>
      </c>
      <c r="H468" s="3">
        <v>47</v>
      </c>
      <c r="I468" t="s">
        <v>32</v>
      </c>
      <c r="J468" t="s">
        <v>48</v>
      </c>
      <c r="K468" t="s">
        <v>45</v>
      </c>
      <c r="L468" t="s">
        <v>38</v>
      </c>
      <c r="M468" s="2">
        <v>0.25</v>
      </c>
      <c r="N468" t="s">
        <v>29</v>
      </c>
      <c r="O468" t="str">
        <f t="shared" si="15"/>
        <v>August</v>
      </c>
      <c r="P468" t="str">
        <f t="shared" si="14"/>
        <v>Adult</v>
      </c>
    </row>
    <row r="469" spans="1:16" x14ac:dyDescent="0.25">
      <c r="A469">
        <v>1468</v>
      </c>
      <c r="B469" s="1">
        <v>45186</v>
      </c>
      <c r="C469" t="s">
        <v>30</v>
      </c>
      <c r="D469" t="s">
        <v>77</v>
      </c>
      <c r="E469" s="3">
        <v>1395</v>
      </c>
      <c r="F469" s="3">
        <v>2</v>
      </c>
      <c r="G469" s="3">
        <v>2790</v>
      </c>
      <c r="H469" s="3">
        <v>57</v>
      </c>
      <c r="I469" t="s">
        <v>32</v>
      </c>
      <c r="J469" t="s">
        <v>26</v>
      </c>
      <c r="K469" t="s">
        <v>37</v>
      </c>
      <c r="L469" t="s">
        <v>47</v>
      </c>
      <c r="M469" s="2">
        <v>0.3</v>
      </c>
      <c r="N469" t="s">
        <v>29</v>
      </c>
      <c r="O469" t="str">
        <f t="shared" si="15"/>
        <v>September</v>
      </c>
      <c r="P469" t="str">
        <f t="shared" si="14"/>
        <v>Middle-Aged</v>
      </c>
    </row>
    <row r="470" spans="1:16" x14ac:dyDescent="0.25">
      <c r="A470">
        <v>1469</v>
      </c>
      <c r="B470" s="1">
        <v>45147</v>
      </c>
      <c r="C470" t="s">
        <v>52</v>
      </c>
      <c r="D470" t="s">
        <v>67</v>
      </c>
      <c r="E470" s="3">
        <v>1462</v>
      </c>
      <c r="F470" s="3">
        <v>1</v>
      </c>
      <c r="G470" s="3">
        <v>1462</v>
      </c>
      <c r="H470" s="3">
        <v>59</v>
      </c>
      <c r="I470" t="s">
        <v>18</v>
      </c>
      <c r="J470" t="s">
        <v>55</v>
      </c>
      <c r="K470" t="s">
        <v>45</v>
      </c>
      <c r="L470" t="s">
        <v>47</v>
      </c>
      <c r="M470" s="2">
        <v>0.05</v>
      </c>
      <c r="N470" t="s">
        <v>29</v>
      </c>
      <c r="O470" t="str">
        <f t="shared" si="15"/>
        <v>August</v>
      </c>
      <c r="P470" t="str">
        <f t="shared" si="14"/>
        <v>Middle-Aged</v>
      </c>
    </row>
    <row r="471" spans="1:16" x14ac:dyDescent="0.25">
      <c r="A471">
        <v>1470</v>
      </c>
      <c r="B471" s="1">
        <v>44940</v>
      </c>
      <c r="C471" t="s">
        <v>16</v>
      </c>
      <c r="D471" t="s">
        <v>59</v>
      </c>
      <c r="E471" s="3">
        <v>441</v>
      </c>
      <c r="F471" s="3">
        <v>2</v>
      </c>
      <c r="G471" s="3">
        <v>882</v>
      </c>
      <c r="H471" s="3">
        <v>48</v>
      </c>
      <c r="I471" t="s">
        <v>32</v>
      </c>
      <c r="J471" t="s">
        <v>58</v>
      </c>
      <c r="K471" t="s">
        <v>33</v>
      </c>
      <c r="L471" t="s">
        <v>21</v>
      </c>
      <c r="M471" s="2">
        <v>0.2</v>
      </c>
      <c r="N471" t="s">
        <v>22</v>
      </c>
      <c r="O471" t="str">
        <f t="shared" si="15"/>
        <v>January</v>
      </c>
      <c r="P471" t="str">
        <f t="shared" si="14"/>
        <v>Adult</v>
      </c>
    </row>
    <row r="472" spans="1:16" x14ac:dyDescent="0.25">
      <c r="A472">
        <v>1471</v>
      </c>
      <c r="B472" s="1">
        <v>45198</v>
      </c>
      <c r="C472" t="s">
        <v>52</v>
      </c>
      <c r="D472" t="s">
        <v>53</v>
      </c>
      <c r="E472" s="3">
        <v>1006</v>
      </c>
      <c r="F472" s="3">
        <v>2</v>
      </c>
      <c r="G472" s="3">
        <v>2012</v>
      </c>
      <c r="H472" s="3">
        <v>54</v>
      </c>
      <c r="I472" t="s">
        <v>18</v>
      </c>
      <c r="J472" t="s">
        <v>43</v>
      </c>
      <c r="K472" t="s">
        <v>20</v>
      </c>
      <c r="L472" t="s">
        <v>21</v>
      </c>
      <c r="M472" s="2">
        <v>0.25</v>
      </c>
      <c r="N472" t="s">
        <v>22</v>
      </c>
      <c r="O472" t="str">
        <f t="shared" si="15"/>
        <v>September</v>
      </c>
      <c r="P472" t="str">
        <f t="shared" si="14"/>
        <v>Middle-Aged</v>
      </c>
    </row>
    <row r="473" spans="1:16" x14ac:dyDescent="0.25">
      <c r="A473">
        <v>1472</v>
      </c>
      <c r="B473" s="1">
        <v>45089</v>
      </c>
      <c r="C473" t="s">
        <v>35</v>
      </c>
      <c r="D473" t="s">
        <v>75</v>
      </c>
      <c r="E473" s="3">
        <v>346</v>
      </c>
      <c r="F473" s="3">
        <v>4</v>
      </c>
      <c r="G473" s="3">
        <v>1384</v>
      </c>
      <c r="H473" s="3">
        <v>49</v>
      </c>
      <c r="I473" t="s">
        <v>32</v>
      </c>
      <c r="J473" t="s">
        <v>43</v>
      </c>
      <c r="K473" t="s">
        <v>37</v>
      </c>
      <c r="L473" t="s">
        <v>47</v>
      </c>
      <c r="M473" s="2">
        <v>0.25</v>
      </c>
      <c r="N473" t="s">
        <v>29</v>
      </c>
      <c r="O473" t="str">
        <f t="shared" si="15"/>
        <v>June</v>
      </c>
      <c r="P473" t="str">
        <f t="shared" si="14"/>
        <v>Adult</v>
      </c>
    </row>
    <row r="474" spans="1:16" x14ac:dyDescent="0.25">
      <c r="A474">
        <v>1473</v>
      </c>
      <c r="B474" s="1">
        <v>45250</v>
      </c>
      <c r="C474" t="s">
        <v>52</v>
      </c>
      <c r="D474" t="s">
        <v>67</v>
      </c>
      <c r="E474" s="3">
        <v>801</v>
      </c>
      <c r="F474" s="3">
        <v>5</v>
      </c>
      <c r="G474" s="3">
        <v>4005</v>
      </c>
      <c r="H474" s="3">
        <v>47</v>
      </c>
      <c r="I474" t="s">
        <v>18</v>
      </c>
      <c r="J474" t="s">
        <v>48</v>
      </c>
      <c r="K474" t="s">
        <v>37</v>
      </c>
      <c r="L474" t="s">
        <v>28</v>
      </c>
      <c r="M474" s="2">
        <v>0.1</v>
      </c>
      <c r="N474" t="s">
        <v>22</v>
      </c>
      <c r="O474" t="str">
        <f t="shared" si="15"/>
        <v>November</v>
      </c>
      <c r="P474" t="str">
        <f t="shared" si="14"/>
        <v>Adult</v>
      </c>
    </row>
    <row r="475" spans="1:16" x14ac:dyDescent="0.25">
      <c r="A475">
        <v>1474</v>
      </c>
      <c r="B475" s="1">
        <v>44983</v>
      </c>
      <c r="C475" t="s">
        <v>24</v>
      </c>
      <c r="D475" t="s">
        <v>54</v>
      </c>
      <c r="E475" s="3">
        <v>530</v>
      </c>
      <c r="F475" s="3">
        <v>5</v>
      </c>
      <c r="G475" s="3">
        <v>2650</v>
      </c>
      <c r="H475" s="3">
        <v>36</v>
      </c>
      <c r="I475" t="s">
        <v>32</v>
      </c>
      <c r="J475" t="s">
        <v>60</v>
      </c>
      <c r="K475" t="s">
        <v>27</v>
      </c>
      <c r="L475" t="s">
        <v>47</v>
      </c>
      <c r="M475" s="2">
        <v>0.3</v>
      </c>
      <c r="N475" t="s">
        <v>29</v>
      </c>
      <c r="O475" t="str">
        <f t="shared" si="15"/>
        <v>February</v>
      </c>
      <c r="P475" t="str">
        <f t="shared" si="14"/>
        <v>Adult</v>
      </c>
    </row>
    <row r="476" spans="1:16" x14ac:dyDescent="0.25">
      <c r="A476">
        <v>1475</v>
      </c>
      <c r="B476" s="1">
        <v>45096</v>
      </c>
      <c r="C476" t="s">
        <v>16</v>
      </c>
      <c r="D476" t="s">
        <v>59</v>
      </c>
      <c r="E476" s="3">
        <v>21</v>
      </c>
      <c r="F476" s="3">
        <v>5</v>
      </c>
      <c r="G476" s="3">
        <v>105</v>
      </c>
      <c r="H476" s="3">
        <v>25</v>
      </c>
      <c r="I476" t="s">
        <v>18</v>
      </c>
      <c r="J476" t="s">
        <v>51</v>
      </c>
      <c r="K476" t="s">
        <v>33</v>
      </c>
      <c r="L476" t="s">
        <v>34</v>
      </c>
      <c r="M476" s="2">
        <v>0.1</v>
      </c>
      <c r="N476" t="s">
        <v>29</v>
      </c>
      <c r="O476" t="str">
        <f t="shared" si="15"/>
        <v>June</v>
      </c>
      <c r="P476" t="str">
        <f t="shared" si="14"/>
        <v>Young Adult</v>
      </c>
    </row>
    <row r="477" spans="1:16" x14ac:dyDescent="0.25">
      <c r="A477">
        <v>1476</v>
      </c>
      <c r="B477" s="1">
        <v>45244</v>
      </c>
      <c r="C477" t="s">
        <v>49</v>
      </c>
      <c r="D477" t="s">
        <v>57</v>
      </c>
      <c r="E477" s="3">
        <v>1227</v>
      </c>
      <c r="F477" s="3">
        <v>2</v>
      </c>
      <c r="G477" s="3">
        <v>2454</v>
      </c>
      <c r="H477" s="3">
        <v>18</v>
      </c>
      <c r="I477" t="s">
        <v>18</v>
      </c>
      <c r="J477" t="s">
        <v>26</v>
      </c>
      <c r="K477" t="s">
        <v>27</v>
      </c>
      <c r="L477" t="s">
        <v>28</v>
      </c>
      <c r="M477" s="2">
        <v>0.3</v>
      </c>
      <c r="N477" t="s">
        <v>29</v>
      </c>
      <c r="O477" t="str">
        <f t="shared" si="15"/>
        <v>November</v>
      </c>
      <c r="P477" t="str">
        <f t="shared" si="14"/>
        <v>Young Adult</v>
      </c>
    </row>
    <row r="478" spans="1:16" x14ac:dyDescent="0.25">
      <c r="A478">
        <v>1477</v>
      </c>
      <c r="B478" s="1">
        <v>45249</v>
      </c>
      <c r="C478" t="s">
        <v>16</v>
      </c>
      <c r="D478" t="s">
        <v>59</v>
      </c>
      <c r="E478" s="3">
        <v>363</v>
      </c>
      <c r="F478" s="3">
        <v>5</v>
      </c>
      <c r="G478" s="3">
        <v>1815</v>
      </c>
      <c r="H478" s="3">
        <v>49</v>
      </c>
      <c r="I478" t="s">
        <v>18</v>
      </c>
      <c r="J478" t="s">
        <v>19</v>
      </c>
      <c r="K478" t="s">
        <v>37</v>
      </c>
      <c r="L478" t="s">
        <v>47</v>
      </c>
      <c r="M478" s="2">
        <v>0.1</v>
      </c>
      <c r="N478" t="s">
        <v>22</v>
      </c>
      <c r="O478" t="str">
        <f t="shared" si="15"/>
        <v>November</v>
      </c>
      <c r="P478" t="str">
        <f t="shared" si="14"/>
        <v>Adult</v>
      </c>
    </row>
    <row r="479" spans="1:16" x14ac:dyDescent="0.25">
      <c r="A479">
        <v>1478</v>
      </c>
      <c r="B479" s="1">
        <v>45204</v>
      </c>
      <c r="C479" t="s">
        <v>30</v>
      </c>
      <c r="D479" t="s">
        <v>69</v>
      </c>
      <c r="E479" s="3">
        <v>852</v>
      </c>
      <c r="F479" s="3">
        <v>3</v>
      </c>
      <c r="G479" s="3">
        <v>2556</v>
      </c>
      <c r="H479" s="3">
        <v>39</v>
      </c>
      <c r="I479" t="s">
        <v>32</v>
      </c>
      <c r="J479" t="s">
        <v>55</v>
      </c>
      <c r="K479" t="s">
        <v>20</v>
      </c>
      <c r="L479" t="s">
        <v>47</v>
      </c>
      <c r="M479" s="2">
        <v>0.05</v>
      </c>
      <c r="N479" t="s">
        <v>22</v>
      </c>
      <c r="O479" t="str">
        <f t="shared" si="15"/>
        <v>October</v>
      </c>
      <c r="P479" t="str">
        <f t="shared" si="14"/>
        <v>Adult</v>
      </c>
    </row>
    <row r="480" spans="1:16" x14ac:dyDescent="0.25">
      <c r="A480">
        <v>1479</v>
      </c>
      <c r="B480" s="1">
        <v>45176</v>
      </c>
      <c r="C480" t="s">
        <v>52</v>
      </c>
      <c r="D480" t="s">
        <v>82</v>
      </c>
      <c r="E480" s="3">
        <v>327</v>
      </c>
      <c r="F480" s="3">
        <v>5</v>
      </c>
      <c r="G480" s="3">
        <v>1635</v>
      </c>
      <c r="H480" s="3">
        <v>29</v>
      </c>
      <c r="I480" t="s">
        <v>32</v>
      </c>
      <c r="J480" t="s">
        <v>58</v>
      </c>
      <c r="K480" t="s">
        <v>20</v>
      </c>
      <c r="L480" t="s">
        <v>28</v>
      </c>
      <c r="M480" s="2">
        <v>0.25</v>
      </c>
      <c r="N480" t="s">
        <v>22</v>
      </c>
      <c r="O480" t="str">
        <f t="shared" si="15"/>
        <v>September</v>
      </c>
      <c r="P480" t="str">
        <f t="shared" si="14"/>
        <v>Young Adult</v>
      </c>
    </row>
    <row r="481" spans="1:16" x14ac:dyDescent="0.25">
      <c r="A481">
        <v>1480</v>
      </c>
      <c r="B481" s="1">
        <v>45235</v>
      </c>
      <c r="C481" t="s">
        <v>30</v>
      </c>
      <c r="D481" t="s">
        <v>77</v>
      </c>
      <c r="E481" s="3">
        <v>1383</v>
      </c>
      <c r="F481" s="3">
        <v>4</v>
      </c>
      <c r="G481" s="3">
        <v>5532</v>
      </c>
      <c r="H481" s="3">
        <v>35</v>
      </c>
      <c r="I481" t="s">
        <v>32</v>
      </c>
      <c r="J481" t="s">
        <v>41</v>
      </c>
      <c r="K481" t="s">
        <v>45</v>
      </c>
      <c r="L481" t="s">
        <v>34</v>
      </c>
      <c r="M481" s="2">
        <v>0.05</v>
      </c>
      <c r="N481" t="s">
        <v>29</v>
      </c>
      <c r="O481" t="str">
        <f t="shared" si="15"/>
        <v>November</v>
      </c>
      <c r="P481" t="str">
        <f t="shared" si="14"/>
        <v>Adult</v>
      </c>
    </row>
    <row r="482" spans="1:16" x14ac:dyDescent="0.25">
      <c r="A482">
        <v>1481</v>
      </c>
      <c r="B482" s="1">
        <v>45097</v>
      </c>
      <c r="C482" t="s">
        <v>39</v>
      </c>
      <c r="D482" t="s">
        <v>61</v>
      </c>
      <c r="E482" s="3">
        <v>758</v>
      </c>
      <c r="F482" s="3">
        <v>4</v>
      </c>
      <c r="G482" s="3">
        <v>3032</v>
      </c>
      <c r="H482" s="3">
        <v>57</v>
      </c>
      <c r="I482" t="s">
        <v>18</v>
      </c>
      <c r="J482" t="s">
        <v>55</v>
      </c>
      <c r="K482" t="s">
        <v>20</v>
      </c>
      <c r="L482" t="s">
        <v>28</v>
      </c>
      <c r="M482" s="2">
        <v>0.15</v>
      </c>
      <c r="N482" t="s">
        <v>29</v>
      </c>
      <c r="O482" t="str">
        <f t="shared" si="15"/>
        <v>June</v>
      </c>
      <c r="P482" t="str">
        <f t="shared" si="14"/>
        <v>Middle-Aged</v>
      </c>
    </row>
    <row r="483" spans="1:16" x14ac:dyDescent="0.25">
      <c r="A483">
        <v>1482</v>
      </c>
      <c r="B483" s="1">
        <v>45109</v>
      </c>
      <c r="C483" t="s">
        <v>16</v>
      </c>
      <c r="D483" t="s">
        <v>83</v>
      </c>
      <c r="E483" s="3">
        <v>1271</v>
      </c>
      <c r="F483" s="3">
        <v>2</v>
      </c>
      <c r="G483" s="3">
        <v>2542</v>
      </c>
      <c r="H483" s="3">
        <v>33</v>
      </c>
      <c r="I483" t="s">
        <v>18</v>
      </c>
      <c r="J483" t="s">
        <v>51</v>
      </c>
      <c r="K483" t="s">
        <v>33</v>
      </c>
      <c r="L483" t="s">
        <v>21</v>
      </c>
      <c r="M483" s="2">
        <v>0.05</v>
      </c>
      <c r="N483" t="s">
        <v>22</v>
      </c>
      <c r="O483" t="str">
        <f t="shared" si="15"/>
        <v>July</v>
      </c>
      <c r="P483" t="str">
        <f t="shared" si="14"/>
        <v>Adult</v>
      </c>
    </row>
    <row r="484" spans="1:16" x14ac:dyDescent="0.25">
      <c r="A484">
        <v>1483</v>
      </c>
      <c r="B484" s="1">
        <v>45069</v>
      </c>
      <c r="C484" t="s">
        <v>52</v>
      </c>
      <c r="D484" t="s">
        <v>65</v>
      </c>
      <c r="E484" s="3">
        <v>951</v>
      </c>
      <c r="F484" s="3">
        <v>1</v>
      </c>
      <c r="G484" s="3">
        <v>951</v>
      </c>
      <c r="H484" s="3">
        <v>27</v>
      </c>
      <c r="I484" t="s">
        <v>18</v>
      </c>
      <c r="J484" t="s">
        <v>60</v>
      </c>
      <c r="K484" t="s">
        <v>33</v>
      </c>
      <c r="L484" t="s">
        <v>34</v>
      </c>
      <c r="M484" s="2">
        <v>0.1</v>
      </c>
      <c r="N484" t="s">
        <v>29</v>
      </c>
      <c r="O484" t="str">
        <f t="shared" si="15"/>
        <v>May</v>
      </c>
      <c r="P484" t="str">
        <f t="shared" si="14"/>
        <v>Young Adult</v>
      </c>
    </row>
    <row r="485" spans="1:16" x14ac:dyDescent="0.25">
      <c r="A485">
        <v>1484</v>
      </c>
      <c r="B485" s="1">
        <v>45223</v>
      </c>
      <c r="C485" t="s">
        <v>24</v>
      </c>
      <c r="D485" t="s">
        <v>54</v>
      </c>
      <c r="E485" s="3">
        <v>383</v>
      </c>
      <c r="F485" s="3">
        <v>5</v>
      </c>
      <c r="G485" s="3">
        <v>1915</v>
      </c>
      <c r="H485" s="3">
        <v>20</v>
      </c>
      <c r="I485" t="s">
        <v>18</v>
      </c>
      <c r="J485" t="s">
        <v>19</v>
      </c>
      <c r="K485" t="s">
        <v>42</v>
      </c>
      <c r="L485" t="s">
        <v>38</v>
      </c>
      <c r="M485" s="2">
        <v>0.05</v>
      </c>
      <c r="N485" t="s">
        <v>29</v>
      </c>
      <c r="O485" t="str">
        <f t="shared" si="15"/>
        <v>October</v>
      </c>
      <c r="P485" t="str">
        <f t="shared" si="14"/>
        <v>Young Adult</v>
      </c>
    </row>
    <row r="486" spans="1:16" x14ac:dyDescent="0.25">
      <c r="A486">
        <v>1485</v>
      </c>
      <c r="B486" s="1">
        <v>45291</v>
      </c>
      <c r="C486" t="s">
        <v>49</v>
      </c>
      <c r="D486" t="s">
        <v>66</v>
      </c>
      <c r="E486" s="3">
        <v>153</v>
      </c>
      <c r="F486" s="3">
        <v>5</v>
      </c>
      <c r="G486" s="3">
        <v>765</v>
      </c>
      <c r="H486" s="3">
        <v>44</v>
      </c>
      <c r="I486" t="s">
        <v>32</v>
      </c>
      <c r="J486" t="s">
        <v>63</v>
      </c>
      <c r="K486" t="s">
        <v>33</v>
      </c>
      <c r="L486" t="s">
        <v>34</v>
      </c>
      <c r="M486" s="2">
        <v>0.05</v>
      </c>
      <c r="N486" t="s">
        <v>22</v>
      </c>
      <c r="O486" t="str">
        <f t="shared" si="15"/>
        <v>December</v>
      </c>
      <c r="P486" t="str">
        <f t="shared" si="14"/>
        <v>Adult</v>
      </c>
    </row>
    <row r="487" spans="1:16" x14ac:dyDescent="0.25">
      <c r="A487">
        <v>1486</v>
      </c>
      <c r="B487" s="1">
        <v>45162</v>
      </c>
      <c r="C487" t="s">
        <v>24</v>
      </c>
      <c r="D487" t="s">
        <v>76</v>
      </c>
      <c r="E487" s="3">
        <v>1345</v>
      </c>
      <c r="F487" s="3">
        <v>5</v>
      </c>
      <c r="G487" s="3">
        <v>6725</v>
      </c>
      <c r="H487" s="3">
        <v>43</v>
      </c>
      <c r="I487" t="s">
        <v>32</v>
      </c>
      <c r="J487" t="s">
        <v>55</v>
      </c>
      <c r="K487" t="s">
        <v>27</v>
      </c>
      <c r="L487" t="s">
        <v>28</v>
      </c>
      <c r="M487" s="2">
        <v>0.1</v>
      </c>
      <c r="N487" t="s">
        <v>22</v>
      </c>
      <c r="O487" t="str">
        <f t="shared" si="15"/>
        <v>August</v>
      </c>
      <c r="P487" t="str">
        <f t="shared" si="14"/>
        <v>Adult</v>
      </c>
    </row>
    <row r="488" spans="1:16" x14ac:dyDescent="0.25">
      <c r="A488">
        <v>1487</v>
      </c>
      <c r="B488" s="1">
        <v>44979</v>
      </c>
      <c r="C488" t="s">
        <v>49</v>
      </c>
      <c r="D488" t="s">
        <v>64</v>
      </c>
      <c r="E488" s="3">
        <v>1438</v>
      </c>
      <c r="F488" s="3">
        <v>1</v>
      </c>
      <c r="G488" s="3">
        <v>1438</v>
      </c>
      <c r="H488" s="3">
        <v>59</v>
      </c>
      <c r="I488" t="s">
        <v>32</v>
      </c>
      <c r="J488" t="s">
        <v>43</v>
      </c>
      <c r="K488" t="s">
        <v>45</v>
      </c>
      <c r="L488" t="s">
        <v>28</v>
      </c>
      <c r="M488" s="2">
        <v>0.05</v>
      </c>
      <c r="N488" t="s">
        <v>22</v>
      </c>
      <c r="O488" t="str">
        <f t="shared" si="15"/>
        <v>February</v>
      </c>
      <c r="P488" t="str">
        <f t="shared" si="14"/>
        <v>Middle-Aged</v>
      </c>
    </row>
    <row r="489" spans="1:16" x14ac:dyDescent="0.25">
      <c r="A489">
        <v>1488</v>
      </c>
      <c r="B489" s="1">
        <v>45149</v>
      </c>
      <c r="C489" t="s">
        <v>30</v>
      </c>
      <c r="D489" t="s">
        <v>31</v>
      </c>
      <c r="E489" s="3">
        <v>1002</v>
      </c>
      <c r="F489" s="3">
        <v>1</v>
      </c>
      <c r="G489" s="3">
        <v>1002</v>
      </c>
      <c r="H489" s="3">
        <v>19</v>
      </c>
      <c r="I489" t="s">
        <v>32</v>
      </c>
      <c r="J489" t="s">
        <v>48</v>
      </c>
      <c r="K489" t="s">
        <v>42</v>
      </c>
      <c r="L489" t="s">
        <v>38</v>
      </c>
      <c r="M489" s="2">
        <v>0.15</v>
      </c>
      <c r="N489" t="s">
        <v>29</v>
      </c>
      <c r="O489" t="str">
        <f t="shared" si="15"/>
        <v>August</v>
      </c>
      <c r="P489" t="str">
        <f t="shared" si="14"/>
        <v>Young Adult</v>
      </c>
    </row>
    <row r="490" spans="1:16" x14ac:dyDescent="0.25">
      <c r="A490">
        <v>1489</v>
      </c>
      <c r="B490" s="1">
        <v>45200</v>
      </c>
      <c r="C490" t="s">
        <v>16</v>
      </c>
      <c r="D490" t="s">
        <v>56</v>
      </c>
      <c r="E490" s="3">
        <v>817</v>
      </c>
      <c r="F490" s="3">
        <v>5</v>
      </c>
      <c r="G490" s="3">
        <v>4085</v>
      </c>
      <c r="H490" s="3">
        <v>18</v>
      </c>
      <c r="I490" t="s">
        <v>32</v>
      </c>
      <c r="J490" t="s">
        <v>48</v>
      </c>
      <c r="K490" t="s">
        <v>45</v>
      </c>
      <c r="L490" t="s">
        <v>34</v>
      </c>
      <c r="M490" s="2">
        <v>0.1</v>
      </c>
      <c r="N490" t="s">
        <v>29</v>
      </c>
      <c r="O490" t="str">
        <f t="shared" si="15"/>
        <v>October</v>
      </c>
      <c r="P490" t="str">
        <f t="shared" si="14"/>
        <v>Young Adult</v>
      </c>
    </row>
    <row r="491" spans="1:16" x14ac:dyDescent="0.25">
      <c r="A491">
        <v>1490</v>
      </c>
      <c r="B491" s="1">
        <v>45282</v>
      </c>
      <c r="C491" t="s">
        <v>16</v>
      </c>
      <c r="D491" t="s">
        <v>71</v>
      </c>
      <c r="E491" s="3">
        <v>618</v>
      </c>
      <c r="F491" s="3">
        <v>3</v>
      </c>
      <c r="G491" s="3">
        <v>1854</v>
      </c>
      <c r="H491" s="3">
        <v>43</v>
      </c>
      <c r="I491" t="s">
        <v>32</v>
      </c>
      <c r="J491" t="s">
        <v>58</v>
      </c>
      <c r="K491" t="s">
        <v>37</v>
      </c>
      <c r="L491" t="s">
        <v>34</v>
      </c>
      <c r="M491" s="2">
        <v>0.25</v>
      </c>
      <c r="N491" t="s">
        <v>29</v>
      </c>
      <c r="O491" t="str">
        <f t="shared" si="15"/>
        <v>December</v>
      </c>
      <c r="P491" t="str">
        <f t="shared" si="14"/>
        <v>Adult</v>
      </c>
    </row>
    <row r="492" spans="1:16" x14ac:dyDescent="0.25">
      <c r="A492">
        <v>1491</v>
      </c>
      <c r="B492" s="1">
        <v>45205</v>
      </c>
      <c r="C492" t="s">
        <v>35</v>
      </c>
      <c r="D492" t="s">
        <v>36</v>
      </c>
      <c r="E492" s="3">
        <v>1095</v>
      </c>
      <c r="F492" s="3">
        <v>3</v>
      </c>
      <c r="G492" s="3">
        <v>3285</v>
      </c>
      <c r="H492" s="3">
        <v>20</v>
      </c>
      <c r="I492" t="s">
        <v>18</v>
      </c>
      <c r="J492" t="s">
        <v>26</v>
      </c>
      <c r="K492" t="s">
        <v>37</v>
      </c>
      <c r="L492" t="s">
        <v>38</v>
      </c>
      <c r="M492" s="2">
        <v>0.05</v>
      </c>
      <c r="N492" t="s">
        <v>22</v>
      </c>
      <c r="O492" t="str">
        <f t="shared" si="15"/>
        <v>October</v>
      </c>
      <c r="P492" t="str">
        <f t="shared" si="14"/>
        <v>Young Adult</v>
      </c>
    </row>
    <row r="493" spans="1:16" x14ac:dyDescent="0.25">
      <c r="A493">
        <v>1492</v>
      </c>
      <c r="B493" s="1">
        <v>44997</v>
      </c>
      <c r="C493" t="s">
        <v>39</v>
      </c>
      <c r="D493" t="s">
        <v>40</v>
      </c>
      <c r="E493" s="3">
        <v>1394</v>
      </c>
      <c r="F493" s="3">
        <v>3</v>
      </c>
      <c r="G493" s="3">
        <v>4182</v>
      </c>
      <c r="H493" s="3">
        <v>24</v>
      </c>
      <c r="I493" t="s">
        <v>32</v>
      </c>
      <c r="J493" t="s">
        <v>48</v>
      </c>
      <c r="K493" t="s">
        <v>37</v>
      </c>
      <c r="L493" t="s">
        <v>34</v>
      </c>
      <c r="M493" s="2">
        <v>0.15</v>
      </c>
      <c r="N493" t="s">
        <v>22</v>
      </c>
      <c r="O493" t="str">
        <f t="shared" si="15"/>
        <v>March</v>
      </c>
      <c r="P493" t="str">
        <f t="shared" si="14"/>
        <v>Young Adult</v>
      </c>
    </row>
    <row r="494" spans="1:16" x14ac:dyDescent="0.25">
      <c r="A494">
        <v>1493</v>
      </c>
      <c r="B494" s="1">
        <v>45307</v>
      </c>
      <c r="C494" t="s">
        <v>16</v>
      </c>
      <c r="D494" t="s">
        <v>59</v>
      </c>
      <c r="E494" s="3">
        <v>441</v>
      </c>
      <c r="F494" s="3">
        <v>3</v>
      </c>
      <c r="G494" s="3">
        <v>1323</v>
      </c>
      <c r="H494" s="3">
        <v>19</v>
      </c>
      <c r="I494" t="s">
        <v>32</v>
      </c>
      <c r="J494" t="s">
        <v>63</v>
      </c>
      <c r="K494" t="s">
        <v>20</v>
      </c>
      <c r="L494" t="s">
        <v>34</v>
      </c>
      <c r="M494" s="2">
        <v>0.05</v>
      </c>
      <c r="N494" t="s">
        <v>29</v>
      </c>
      <c r="O494" t="str">
        <f t="shared" si="15"/>
        <v>January</v>
      </c>
      <c r="P494" t="str">
        <f t="shared" si="14"/>
        <v>Young Adult</v>
      </c>
    </row>
    <row r="495" spans="1:16" x14ac:dyDescent="0.25">
      <c r="A495">
        <v>1494</v>
      </c>
      <c r="B495" s="1">
        <v>45103</v>
      </c>
      <c r="C495" t="s">
        <v>16</v>
      </c>
      <c r="D495" t="s">
        <v>83</v>
      </c>
      <c r="E495" s="3">
        <v>840</v>
      </c>
      <c r="F495" s="3">
        <v>3</v>
      </c>
      <c r="G495" s="3">
        <v>2520</v>
      </c>
      <c r="H495" s="3">
        <v>53</v>
      </c>
      <c r="I495" t="s">
        <v>32</v>
      </c>
      <c r="J495" t="s">
        <v>26</v>
      </c>
      <c r="K495" t="s">
        <v>20</v>
      </c>
      <c r="L495" t="s">
        <v>28</v>
      </c>
      <c r="M495" s="2">
        <v>0.2</v>
      </c>
      <c r="N495" t="s">
        <v>29</v>
      </c>
      <c r="O495" t="str">
        <f t="shared" si="15"/>
        <v>June</v>
      </c>
      <c r="P495" t="str">
        <f t="shared" si="14"/>
        <v>Middle-Aged</v>
      </c>
    </row>
    <row r="496" spans="1:16" x14ac:dyDescent="0.25">
      <c r="A496">
        <v>1495</v>
      </c>
      <c r="B496" s="1">
        <v>45104</v>
      </c>
      <c r="C496" t="s">
        <v>24</v>
      </c>
      <c r="D496" t="s">
        <v>76</v>
      </c>
      <c r="E496" s="3">
        <v>1078</v>
      </c>
      <c r="F496" s="3">
        <v>1</v>
      </c>
      <c r="G496" s="3">
        <v>1078</v>
      </c>
      <c r="H496" s="3">
        <v>55</v>
      </c>
      <c r="I496" t="s">
        <v>18</v>
      </c>
      <c r="J496" t="s">
        <v>43</v>
      </c>
      <c r="K496" t="s">
        <v>20</v>
      </c>
      <c r="L496" t="s">
        <v>21</v>
      </c>
      <c r="M496" s="2">
        <v>0.05</v>
      </c>
      <c r="N496" t="s">
        <v>22</v>
      </c>
      <c r="O496" t="str">
        <f t="shared" si="15"/>
        <v>June</v>
      </c>
      <c r="P496" t="str">
        <f t="shared" si="14"/>
        <v>Middle-Aged</v>
      </c>
    </row>
    <row r="497" spans="1:16" x14ac:dyDescent="0.25">
      <c r="A497">
        <v>1496</v>
      </c>
      <c r="B497" s="1">
        <v>45083</v>
      </c>
      <c r="C497" t="s">
        <v>49</v>
      </c>
      <c r="D497" t="s">
        <v>57</v>
      </c>
      <c r="E497" s="3">
        <v>557</v>
      </c>
      <c r="F497" s="3">
        <v>5</v>
      </c>
      <c r="G497" s="3">
        <v>2785</v>
      </c>
      <c r="H497" s="3">
        <v>49</v>
      </c>
      <c r="I497" t="s">
        <v>32</v>
      </c>
      <c r="J497" t="s">
        <v>41</v>
      </c>
      <c r="K497" t="s">
        <v>33</v>
      </c>
      <c r="L497" t="s">
        <v>34</v>
      </c>
      <c r="M497" s="2">
        <v>0.3</v>
      </c>
      <c r="N497" t="s">
        <v>29</v>
      </c>
      <c r="O497" t="str">
        <f t="shared" si="15"/>
        <v>June</v>
      </c>
      <c r="P497" t="str">
        <f t="shared" si="14"/>
        <v>Adult</v>
      </c>
    </row>
    <row r="498" spans="1:16" x14ac:dyDescent="0.25">
      <c r="A498">
        <v>1497</v>
      </c>
      <c r="B498" s="1">
        <v>45013</v>
      </c>
      <c r="C498" t="s">
        <v>24</v>
      </c>
      <c r="D498" t="s">
        <v>25</v>
      </c>
      <c r="E498" s="3">
        <v>1493</v>
      </c>
      <c r="F498" s="3">
        <v>5</v>
      </c>
      <c r="G498" s="3">
        <v>7465</v>
      </c>
      <c r="H498" s="3">
        <v>51</v>
      </c>
      <c r="I498" t="s">
        <v>32</v>
      </c>
      <c r="J498" t="s">
        <v>55</v>
      </c>
      <c r="K498" t="s">
        <v>20</v>
      </c>
      <c r="L498" t="s">
        <v>47</v>
      </c>
      <c r="M498" s="2">
        <v>0.15</v>
      </c>
      <c r="N498" t="s">
        <v>22</v>
      </c>
      <c r="O498" t="str">
        <f t="shared" si="15"/>
        <v>March</v>
      </c>
      <c r="P498" t="str">
        <f t="shared" si="14"/>
        <v>Middle-Aged</v>
      </c>
    </row>
    <row r="499" spans="1:16" x14ac:dyDescent="0.25">
      <c r="A499">
        <v>1498</v>
      </c>
      <c r="B499" s="1">
        <v>45186</v>
      </c>
      <c r="C499" t="s">
        <v>24</v>
      </c>
      <c r="D499" t="s">
        <v>25</v>
      </c>
      <c r="E499" s="3">
        <v>1228</v>
      </c>
      <c r="F499" s="3">
        <v>4</v>
      </c>
      <c r="G499" s="3">
        <v>4912</v>
      </c>
      <c r="H499" s="3">
        <v>45</v>
      </c>
      <c r="I499" t="s">
        <v>32</v>
      </c>
      <c r="J499" t="s">
        <v>58</v>
      </c>
      <c r="K499" t="s">
        <v>42</v>
      </c>
      <c r="L499" t="s">
        <v>47</v>
      </c>
      <c r="M499" s="2">
        <v>0.15</v>
      </c>
      <c r="N499" t="s">
        <v>22</v>
      </c>
      <c r="O499" t="str">
        <f t="shared" si="15"/>
        <v>September</v>
      </c>
      <c r="P499" t="str">
        <f t="shared" si="14"/>
        <v>Adult</v>
      </c>
    </row>
    <row r="500" spans="1:16" x14ac:dyDescent="0.25">
      <c r="A500">
        <v>1499</v>
      </c>
      <c r="B500" s="1">
        <v>45247</v>
      </c>
      <c r="C500" t="s">
        <v>49</v>
      </c>
      <c r="D500" t="s">
        <v>50</v>
      </c>
      <c r="E500" s="3">
        <v>1085</v>
      </c>
      <c r="F500" s="3">
        <v>3</v>
      </c>
      <c r="G500" s="3">
        <v>3255</v>
      </c>
      <c r="H500" s="3">
        <v>58</v>
      </c>
      <c r="I500" t="s">
        <v>32</v>
      </c>
      <c r="J500" t="s">
        <v>51</v>
      </c>
      <c r="K500" t="s">
        <v>33</v>
      </c>
      <c r="L500" t="s">
        <v>38</v>
      </c>
      <c r="M500" s="2">
        <v>0.3</v>
      </c>
      <c r="N500" t="s">
        <v>22</v>
      </c>
      <c r="O500" t="str">
        <f t="shared" si="15"/>
        <v>November</v>
      </c>
      <c r="P500" t="str">
        <f t="shared" si="14"/>
        <v>Middle-Aged</v>
      </c>
    </row>
    <row r="501" spans="1:16" x14ac:dyDescent="0.25">
      <c r="A501">
        <v>1500</v>
      </c>
      <c r="B501" s="1">
        <v>45258</v>
      </c>
      <c r="C501" t="s">
        <v>49</v>
      </c>
      <c r="D501" t="s">
        <v>66</v>
      </c>
      <c r="E501" s="3">
        <v>715</v>
      </c>
      <c r="F501" s="3">
        <v>2</v>
      </c>
      <c r="G501" s="3">
        <v>1430</v>
      </c>
      <c r="H501" s="3">
        <v>51</v>
      </c>
      <c r="I501" t="s">
        <v>18</v>
      </c>
      <c r="J501" t="s">
        <v>43</v>
      </c>
      <c r="K501" t="s">
        <v>33</v>
      </c>
      <c r="L501" t="s">
        <v>21</v>
      </c>
      <c r="M501" s="2">
        <v>0.3</v>
      </c>
      <c r="N501" t="s">
        <v>22</v>
      </c>
      <c r="O501" t="str">
        <f t="shared" si="15"/>
        <v>November</v>
      </c>
      <c r="P501" t="str">
        <f t="shared" si="14"/>
        <v>Middle-Aged</v>
      </c>
    </row>
    <row r="502" spans="1:16" x14ac:dyDescent="0.25">
      <c r="A502">
        <v>1501</v>
      </c>
      <c r="B502" s="1">
        <v>45235</v>
      </c>
      <c r="C502" t="s">
        <v>52</v>
      </c>
      <c r="D502" t="s">
        <v>53</v>
      </c>
      <c r="E502" s="3">
        <v>38</v>
      </c>
      <c r="F502" s="3">
        <v>5</v>
      </c>
      <c r="G502" s="3">
        <v>190</v>
      </c>
      <c r="H502" s="3">
        <v>49</v>
      </c>
      <c r="I502" t="s">
        <v>18</v>
      </c>
      <c r="J502" t="s">
        <v>55</v>
      </c>
      <c r="K502" t="s">
        <v>45</v>
      </c>
      <c r="L502" t="s">
        <v>34</v>
      </c>
      <c r="M502" s="2">
        <v>0.3</v>
      </c>
      <c r="N502" t="s">
        <v>29</v>
      </c>
      <c r="O502" t="str">
        <f t="shared" si="15"/>
        <v>November</v>
      </c>
      <c r="P502" t="str">
        <f t="shared" si="14"/>
        <v>Adult</v>
      </c>
    </row>
    <row r="503" spans="1:16" x14ac:dyDescent="0.25">
      <c r="A503">
        <v>1502</v>
      </c>
      <c r="B503" s="1">
        <v>45281</v>
      </c>
      <c r="C503" t="s">
        <v>24</v>
      </c>
      <c r="D503" t="s">
        <v>25</v>
      </c>
      <c r="E503" s="3">
        <v>804</v>
      </c>
      <c r="F503" s="3">
        <v>3</v>
      </c>
      <c r="G503" s="3">
        <v>2412</v>
      </c>
      <c r="H503" s="3">
        <v>48</v>
      </c>
      <c r="I503" t="s">
        <v>18</v>
      </c>
      <c r="J503" t="s">
        <v>19</v>
      </c>
      <c r="K503" t="s">
        <v>42</v>
      </c>
      <c r="L503" t="s">
        <v>47</v>
      </c>
      <c r="M503" s="2">
        <v>0.25</v>
      </c>
      <c r="N503" t="s">
        <v>29</v>
      </c>
      <c r="O503" t="str">
        <f t="shared" si="15"/>
        <v>December</v>
      </c>
      <c r="P503" t="str">
        <f t="shared" si="14"/>
        <v>Adult</v>
      </c>
    </row>
    <row r="504" spans="1:16" x14ac:dyDescent="0.25">
      <c r="A504">
        <v>1503</v>
      </c>
      <c r="B504" s="1">
        <v>45220</v>
      </c>
      <c r="C504" t="s">
        <v>49</v>
      </c>
      <c r="D504" t="s">
        <v>64</v>
      </c>
      <c r="E504" s="3">
        <v>718</v>
      </c>
      <c r="F504" s="3">
        <v>1</v>
      </c>
      <c r="G504" s="3">
        <v>718</v>
      </c>
      <c r="H504" s="3">
        <v>23</v>
      </c>
      <c r="I504" t="s">
        <v>18</v>
      </c>
      <c r="J504" t="s">
        <v>58</v>
      </c>
      <c r="K504" t="s">
        <v>27</v>
      </c>
      <c r="L504" t="s">
        <v>21</v>
      </c>
      <c r="M504" s="2">
        <v>0.25</v>
      </c>
      <c r="N504" t="s">
        <v>29</v>
      </c>
      <c r="O504" t="str">
        <f t="shared" si="15"/>
        <v>October</v>
      </c>
      <c r="P504" t="str">
        <f t="shared" si="14"/>
        <v>Young Adult</v>
      </c>
    </row>
    <row r="505" spans="1:16" x14ac:dyDescent="0.25">
      <c r="A505">
        <v>1504</v>
      </c>
      <c r="B505" s="1">
        <v>45141</v>
      </c>
      <c r="C505" t="s">
        <v>16</v>
      </c>
      <c r="D505" t="s">
        <v>71</v>
      </c>
      <c r="E505" s="3">
        <v>1438</v>
      </c>
      <c r="F505" s="3">
        <v>5</v>
      </c>
      <c r="G505" s="3">
        <v>7190</v>
      </c>
      <c r="H505" s="3">
        <v>25</v>
      </c>
      <c r="I505" t="s">
        <v>32</v>
      </c>
      <c r="J505" t="s">
        <v>55</v>
      </c>
      <c r="K505" t="s">
        <v>33</v>
      </c>
      <c r="L505" t="s">
        <v>21</v>
      </c>
      <c r="M505" s="2">
        <v>0.05</v>
      </c>
      <c r="N505" t="s">
        <v>29</v>
      </c>
      <c r="O505" t="str">
        <f t="shared" si="15"/>
        <v>August</v>
      </c>
      <c r="P505" t="str">
        <f t="shared" si="14"/>
        <v>Young Adult</v>
      </c>
    </row>
    <row r="506" spans="1:16" x14ac:dyDescent="0.25">
      <c r="A506">
        <v>1505</v>
      </c>
      <c r="B506" s="1">
        <v>45226</v>
      </c>
      <c r="C506" t="s">
        <v>52</v>
      </c>
      <c r="D506" t="s">
        <v>65</v>
      </c>
      <c r="E506" s="3">
        <v>1317</v>
      </c>
      <c r="F506" s="3">
        <v>4</v>
      </c>
      <c r="G506" s="3">
        <v>5268</v>
      </c>
      <c r="H506" s="3">
        <v>18</v>
      </c>
      <c r="I506" t="s">
        <v>18</v>
      </c>
      <c r="J506" t="s">
        <v>58</v>
      </c>
      <c r="K506" t="s">
        <v>33</v>
      </c>
      <c r="L506" t="s">
        <v>38</v>
      </c>
      <c r="M506" s="2">
        <v>0.1</v>
      </c>
      <c r="N506" t="s">
        <v>22</v>
      </c>
      <c r="O506" t="str">
        <f t="shared" si="15"/>
        <v>October</v>
      </c>
      <c r="P506" t="str">
        <f t="shared" si="14"/>
        <v>Young Adult</v>
      </c>
    </row>
    <row r="507" spans="1:16" x14ac:dyDescent="0.25">
      <c r="A507">
        <v>1506</v>
      </c>
      <c r="B507" s="1">
        <v>45303</v>
      </c>
      <c r="C507" t="s">
        <v>39</v>
      </c>
      <c r="D507" t="s">
        <v>61</v>
      </c>
      <c r="E507" s="3">
        <v>425</v>
      </c>
      <c r="F507" s="3">
        <v>3</v>
      </c>
      <c r="G507" s="3">
        <v>1275</v>
      </c>
      <c r="H507" s="3">
        <v>39</v>
      </c>
      <c r="I507" t="s">
        <v>32</v>
      </c>
      <c r="J507" t="s">
        <v>41</v>
      </c>
      <c r="K507" t="s">
        <v>27</v>
      </c>
      <c r="L507" t="s">
        <v>34</v>
      </c>
      <c r="M507" s="2">
        <v>0.25</v>
      </c>
      <c r="N507" t="s">
        <v>22</v>
      </c>
      <c r="O507" t="str">
        <f t="shared" si="15"/>
        <v>January</v>
      </c>
      <c r="P507" t="str">
        <f t="shared" si="14"/>
        <v>Adult</v>
      </c>
    </row>
    <row r="508" spans="1:16" x14ac:dyDescent="0.25">
      <c r="A508">
        <v>1507</v>
      </c>
      <c r="B508" s="1">
        <v>45281</v>
      </c>
      <c r="C508" t="s">
        <v>39</v>
      </c>
      <c r="D508" t="s">
        <v>46</v>
      </c>
      <c r="E508" s="3">
        <v>809</v>
      </c>
      <c r="F508" s="3">
        <v>2</v>
      </c>
      <c r="G508" s="3">
        <v>1618</v>
      </c>
      <c r="H508" s="3">
        <v>28</v>
      </c>
      <c r="I508" t="s">
        <v>32</v>
      </c>
      <c r="J508" t="s">
        <v>41</v>
      </c>
      <c r="K508" t="s">
        <v>27</v>
      </c>
      <c r="L508" t="s">
        <v>34</v>
      </c>
      <c r="M508" s="2">
        <v>0.1</v>
      </c>
      <c r="N508" t="s">
        <v>22</v>
      </c>
      <c r="O508" t="str">
        <f t="shared" si="15"/>
        <v>December</v>
      </c>
      <c r="P508" t="str">
        <f t="shared" si="14"/>
        <v>Young Adult</v>
      </c>
    </row>
    <row r="509" spans="1:16" x14ac:dyDescent="0.25">
      <c r="A509">
        <v>1508</v>
      </c>
      <c r="B509" s="1">
        <v>44955</v>
      </c>
      <c r="C509" t="s">
        <v>24</v>
      </c>
      <c r="D509" t="s">
        <v>76</v>
      </c>
      <c r="E509" s="3">
        <v>1110</v>
      </c>
      <c r="F509" s="3">
        <v>1</v>
      </c>
      <c r="G509" s="3">
        <v>1110</v>
      </c>
      <c r="H509" s="3">
        <v>28</v>
      </c>
      <c r="I509" t="s">
        <v>18</v>
      </c>
      <c r="J509" t="s">
        <v>51</v>
      </c>
      <c r="K509" t="s">
        <v>20</v>
      </c>
      <c r="L509" t="s">
        <v>47</v>
      </c>
      <c r="M509" s="2">
        <v>0.25</v>
      </c>
      <c r="N509" t="s">
        <v>29</v>
      </c>
      <c r="O509" t="str">
        <f t="shared" si="15"/>
        <v>January</v>
      </c>
      <c r="P509" t="str">
        <f t="shared" si="14"/>
        <v>Young Adult</v>
      </c>
    </row>
    <row r="510" spans="1:16" x14ac:dyDescent="0.25">
      <c r="A510">
        <v>1509</v>
      </c>
      <c r="B510" s="1">
        <v>45202</v>
      </c>
      <c r="C510" t="s">
        <v>16</v>
      </c>
      <c r="D510" t="s">
        <v>62</v>
      </c>
      <c r="E510" s="3">
        <v>571</v>
      </c>
      <c r="F510" s="3">
        <v>3</v>
      </c>
      <c r="G510" s="3">
        <v>1713</v>
      </c>
      <c r="H510" s="3">
        <v>27</v>
      </c>
      <c r="I510" t="s">
        <v>18</v>
      </c>
      <c r="J510" t="s">
        <v>58</v>
      </c>
      <c r="K510" t="s">
        <v>27</v>
      </c>
      <c r="L510" t="s">
        <v>38</v>
      </c>
      <c r="M510" s="2">
        <v>0.15</v>
      </c>
      <c r="N510" t="s">
        <v>29</v>
      </c>
      <c r="O510" t="str">
        <f t="shared" si="15"/>
        <v>October</v>
      </c>
      <c r="P510" t="str">
        <f t="shared" si="14"/>
        <v>Young Adult</v>
      </c>
    </row>
    <row r="511" spans="1:16" x14ac:dyDescent="0.25">
      <c r="A511">
        <v>1510</v>
      </c>
      <c r="B511" s="1">
        <v>45141</v>
      </c>
      <c r="C511" t="s">
        <v>24</v>
      </c>
      <c r="D511" t="s">
        <v>54</v>
      </c>
      <c r="E511" s="3">
        <v>441</v>
      </c>
      <c r="F511" s="3">
        <v>1</v>
      </c>
      <c r="G511" s="3">
        <v>441</v>
      </c>
      <c r="H511" s="3">
        <v>47</v>
      </c>
      <c r="I511" t="s">
        <v>32</v>
      </c>
      <c r="J511" t="s">
        <v>41</v>
      </c>
      <c r="K511" t="s">
        <v>37</v>
      </c>
      <c r="L511" t="s">
        <v>28</v>
      </c>
      <c r="M511" s="2">
        <v>0.15</v>
      </c>
      <c r="N511" t="s">
        <v>29</v>
      </c>
      <c r="O511" t="str">
        <f t="shared" si="15"/>
        <v>August</v>
      </c>
      <c r="P511" t="str">
        <f t="shared" si="14"/>
        <v>Adult</v>
      </c>
    </row>
    <row r="512" spans="1:16" x14ac:dyDescent="0.25">
      <c r="A512">
        <v>1511</v>
      </c>
      <c r="B512" s="1">
        <v>45070</v>
      </c>
      <c r="C512" t="s">
        <v>39</v>
      </c>
      <c r="D512" t="s">
        <v>61</v>
      </c>
      <c r="E512" s="3">
        <v>43</v>
      </c>
      <c r="F512" s="3">
        <v>5</v>
      </c>
      <c r="G512" s="3">
        <v>215</v>
      </c>
      <c r="H512" s="3">
        <v>41</v>
      </c>
      <c r="I512" t="s">
        <v>32</v>
      </c>
      <c r="J512" t="s">
        <v>41</v>
      </c>
      <c r="K512" t="s">
        <v>20</v>
      </c>
      <c r="L512" t="s">
        <v>38</v>
      </c>
      <c r="M512" s="2">
        <v>0.15</v>
      </c>
      <c r="N512" t="s">
        <v>29</v>
      </c>
      <c r="O512" t="str">
        <f t="shared" si="15"/>
        <v>May</v>
      </c>
      <c r="P512" t="str">
        <f t="shared" si="14"/>
        <v>Adult</v>
      </c>
    </row>
    <row r="513" spans="1:16" x14ac:dyDescent="0.25">
      <c r="A513">
        <v>1512</v>
      </c>
      <c r="B513" s="1">
        <v>45058</v>
      </c>
      <c r="C513" t="s">
        <v>39</v>
      </c>
      <c r="D513" t="s">
        <v>61</v>
      </c>
      <c r="E513" s="3">
        <v>1242</v>
      </c>
      <c r="F513" s="3">
        <v>2</v>
      </c>
      <c r="G513" s="3">
        <v>2484</v>
      </c>
      <c r="H513" s="3">
        <v>48</v>
      </c>
      <c r="I513" t="s">
        <v>32</v>
      </c>
      <c r="J513" t="s">
        <v>60</v>
      </c>
      <c r="K513" t="s">
        <v>33</v>
      </c>
      <c r="L513" t="s">
        <v>47</v>
      </c>
      <c r="M513" s="2">
        <v>0.3</v>
      </c>
      <c r="N513" t="s">
        <v>22</v>
      </c>
      <c r="O513" t="str">
        <f t="shared" si="15"/>
        <v>May</v>
      </c>
      <c r="P513" t="str">
        <f t="shared" si="14"/>
        <v>Adult</v>
      </c>
    </row>
    <row r="514" spans="1:16" x14ac:dyDescent="0.25">
      <c r="A514">
        <v>1513</v>
      </c>
      <c r="B514" s="1">
        <v>44947</v>
      </c>
      <c r="C514" t="s">
        <v>16</v>
      </c>
      <c r="D514" t="s">
        <v>56</v>
      </c>
      <c r="E514" s="3">
        <v>1397</v>
      </c>
      <c r="F514" s="3">
        <v>4</v>
      </c>
      <c r="G514" s="3">
        <v>5588</v>
      </c>
      <c r="H514" s="3">
        <v>50</v>
      </c>
      <c r="I514" t="s">
        <v>18</v>
      </c>
      <c r="J514" t="s">
        <v>26</v>
      </c>
      <c r="K514" t="s">
        <v>33</v>
      </c>
      <c r="L514" t="s">
        <v>28</v>
      </c>
      <c r="M514" s="2">
        <v>0.15</v>
      </c>
      <c r="N514" t="s">
        <v>22</v>
      </c>
      <c r="O514" t="str">
        <f t="shared" si="15"/>
        <v>January</v>
      </c>
      <c r="P514" t="str">
        <f t="shared" ref="P514:P577" si="16">IF(H514&lt;13, "Child", IF(H514&lt;18, "Teen", IF(H514&lt;30, "Young Adult", IF(H514&lt;50, "Adult", IF(H514&lt;65, "Middle-Aged", "Senior")))))</f>
        <v>Middle-Aged</v>
      </c>
    </row>
    <row r="515" spans="1:16" x14ac:dyDescent="0.25">
      <c r="A515">
        <v>1514</v>
      </c>
      <c r="B515" s="1">
        <v>44966</v>
      </c>
      <c r="C515" t="s">
        <v>30</v>
      </c>
      <c r="D515" t="s">
        <v>44</v>
      </c>
      <c r="E515" s="3">
        <v>991</v>
      </c>
      <c r="F515" s="3">
        <v>4</v>
      </c>
      <c r="G515" s="3">
        <v>3964</v>
      </c>
      <c r="H515" s="3">
        <v>52</v>
      </c>
      <c r="I515" t="s">
        <v>18</v>
      </c>
      <c r="J515" t="s">
        <v>51</v>
      </c>
      <c r="K515" t="s">
        <v>37</v>
      </c>
      <c r="L515" t="s">
        <v>21</v>
      </c>
      <c r="M515" s="2">
        <v>0.3</v>
      </c>
      <c r="N515" t="s">
        <v>22</v>
      </c>
      <c r="O515" t="str">
        <f t="shared" ref="O515:O578" si="17">TEXT(B515, "MMMM")</f>
        <v>February</v>
      </c>
      <c r="P515" t="str">
        <f t="shared" si="16"/>
        <v>Middle-Aged</v>
      </c>
    </row>
    <row r="516" spans="1:16" x14ac:dyDescent="0.25">
      <c r="A516">
        <v>1515</v>
      </c>
      <c r="B516" s="1">
        <v>44949</v>
      </c>
      <c r="C516" t="s">
        <v>52</v>
      </c>
      <c r="D516" t="s">
        <v>65</v>
      </c>
      <c r="E516" s="3">
        <v>746</v>
      </c>
      <c r="F516" s="3">
        <v>1</v>
      </c>
      <c r="G516" s="3">
        <v>746</v>
      </c>
      <c r="H516" s="3">
        <v>19</v>
      </c>
      <c r="I516" t="s">
        <v>32</v>
      </c>
      <c r="J516" t="s">
        <v>41</v>
      </c>
      <c r="K516" t="s">
        <v>20</v>
      </c>
      <c r="L516" t="s">
        <v>21</v>
      </c>
      <c r="M516" s="2">
        <v>0.25</v>
      </c>
      <c r="N516" t="s">
        <v>22</v>
      </c>
      <c r="O516" t="str">
        <f t="shared" si="17"/>
        <v>January</v>
      </c>
      <c r="P516" t="str">
        <f t="shared" si="16"/>
        <v>Young Adult</v>
      </c>
    </row>
    <row r="517" spans="1:16" x14ac:dyDescent="0.25">
      <c r="A517">
        <v>1516</v>
      </c>
      <c r="B517" s="1">
        <v>45077</v>
      </c>
      <c r="C517" t="s">
        <v>16</v>
      </c>
      <c r="D517" t="s">
        <v>59</v>
      </c>
      <c r="E517" s="3">
        <v>168</v>
      </c>
      <c r="F517" s="3">
        <v>1</v>
      </c>
      <c r="G517" s="3">
        <v>168</v>
      </c>
      <c r="H517" s="3">
        <v>57</v>
      </c>
      <c r="I517" t="s">
        <v>32</v>
      </c>
      <c r="J517" t="s">
        <v>63</v>
      </c>
      <c r="K517" t="s">
        <v>45</v>
      </c>
      <c r="L517" t="s">
        <v>34</v>
      </c>
      <c r="M517" s="2">
        <v>0.25</v>
      </c>
      <c r="N517" t="s">
        <v>29</v>
      </c>
      <c r="O517" t="str">
        <f t="shared" si="17"/>
        <v>May</v>
      </c>
      <c r="P517" t="str">
        <f t="shared" si="16"/>
        <v>Middle-Aged</v>
      </c>
    </row>
    <row r="518" spans="1:16" x14ac:dyDescent="0.25">
      <c r="A518">
        <v>1517</v>
      </c>
      <c r="B518" s="1">
        <v>45322</v>
      </c>
      <c r="C518" t="s">
        <v>24</v>
      </c>
      <c r="D518" t="s">
        <v>76</v>
      </c>
      <c r="E518" s="3">
        <v>1077</v>
      </c>
      <c r="F518" s="3">
        <v>1</v>
      </c>
      <c r="G518" s="3">
        <v>1077</v>
      </c>
      <c r="H518" s="3">
        <v>49</v>
      </c>
      <c r="I518" t="s">
        <v>18</v>
      </c>
      <c r="J518" t="s">
        <v>26</v>
      </c>
      <c r="K518" t="s">
        <v>33</v>
      </c>
      <c r="L518" t="s">
        <v>47</v>
      </c>
      <c r="M518" s="2">
        <v>0.15</v>
      </c>
      <c r="N518" t="s">
        <v>22</v>
      </c>
      <c r="O518" t="str">
        <f t="shared" si="17"/>
        <v>January</v>
      </c>
      <c r="P518" t="str">
        <f t="shared" si="16"/>
        <v>Adult</v>
      </c>
    </row>
    <row r="519" spans="1:16" x14ac:dyDescent="0.25">
      <c r="A519">
        <v>1518</v>
      </c>
      <c r="B519" s="1">
        <v>45245</v>
      </c>
      <c r="C519" t="s">
        <v>39</v>
      </c>
      <c r="D519" t="s">
        <v>68</v>
      </c>
      <c r="E519" s="3">
        <v>183</v>
      </c>
      <c r="F519" s="3">
        <v>4</v>
      </c>
      <c r="G519" s="3">
        <v>732</v>
      </c>
      <c r="H519" s="3">
        <v>49</v>
      </c>
      <c r="I519" t="s">
        <v>18</v>
      </c>
      <c r="J519" t="s">
        <v>55</v>
      </c>
      <c r="K519" t="s">
        <v>45</v>
      </c>
      <c r="L519" t="s">
        <v>28</v>
      </c>
      <c r="M519" s="2">
        <v>0.3</v>
      </c>
      <c r="N519" t="s">
        <v>22</v>
      </c>
      <c r="O519" t="str">
        <f t="shared" si="17"/>
        <v>November</v>
      </c>
      <c r="P519" t="str">
        <f t="shared" si="16"/>
        <v>Adult</v>
      </c>
    </row>
    <row r="520" spans="1:16" x14ac:dyDescent="0.25">
      <c r="A520">
        <v>1519</v>
      </c>
      <c r="B520" s="1">
        <v>45252</v>
      </c>
      <c r="C520" t="s">
        <v>39</v>
      </c>
      <c r="D520" t="s">
        <v>68</v>
      </c>
      <c r="E520" s="3">
        <v>490</v>
      </c>
      <c r="F520" s="3">
        <v>2</v>
      </c>
      <c r="G520" s="3">
        <v>980</v>
      </c>
      <c r="H520" s="3">
        <v>18</v>
      </c>
      <c r="I520" t="s">
        <v>18</v>
      </c>
      <c r="J520" t="s">
        <v>51</v>
      </c>
      <c r="K520" t="s">
        <v>27</v>
      </c>
      <c r="L520" t="s">
        <v>34</v>
      </c>
      <c r="M520" s="2">
        <v>0.25</v>
      </c>
      <c r="N520" t="s">
        <v>29</v>
      </c>
      <c r="O520" t="str">
        <f t="shared" si="17"/>
        <v>November</v>
      </c>
      <c r="P520" t="str">
        <f t="shared" si="16"/>
        <v>Young Adult</v>
      </c>
    </row>
    <row r="521" spans="1:16" x14ac:dyDescent="0.25">
      <c r="A521">
        <v>1520</v>
      </c>
      <c r="B521" s="1">
        <v>45195</v>
      </c>
      <c r="C521" t="s">
        <v>49</v>
      </c>
      <c r="D521" t="s">
        <v>50</v>
      </c>
      <c r="E521" s="3">
        <v>1465</v>
      </c>
      <c r="F521" s="3">
        <v>1</v>
      </c>
      <c r="G521" s="3">
        <v>1465</v>
      </c>
      <c r="H521" s="3">
        <v>32</v>
      </c>
      <c r="I521" t="s">
        <v>32</v>
      </c>
      <c r="J521" t="s">
        <v>48</v>
      </c>
      <c r="K521" t="s">
        <v>42</v>
      </c>
      <c r="L521" t="s">
        <v>34</v>
      </c>
      <c r="M521" s="2">
        <v>0.25</v>
      </c>
      <c r="N521" t="s">
        <v>22</v>
      </c>
      <c r="O521" t="str">
        <f t="shared" si="17"/>
        <v>September</v>
      </c>
      <c r="P521" t="str">
        <f t="shared" si="16"/>
        <v>Adult</v>
      </c>
    </row>
    <row r="522" spans="1:16" x14ac:dyDescent="0.25">
      <c r="A522">
        <v>1521</v>
      </c>
      <c r="B522" s="1">
        <v>45130</v>
      </c>
      <c r="C522" t="s">
        <v>52</v>
      </c>
      <c r="D522" t="s">
        <v>67</v>
      </c>
      <c r="E522" s="3">
        <v>362</v>
      </c>
      <c r="F522" s="3">
        <v>4</v>
      </c>
      <c r="G522" s="3">
        <v>1448</v>
      </c>
      <c r="H522" s="3">
        <v>59</v>
      </c>
      <c r="I522" t="s">
        <v>18</v>
      </c>
      <c r="J522" t="s">
        <v>26</v>
      </c>
      <c r="K522" t="s">
        <v>20</v>
      </c>
      <c r="L522" t="s">
        <v>21</v>
      </c>
      <c r="M522" s="2">
        <v>0.05</v>
      </c>
      <c r="N522" t="s">
        <v>22</v>
      </c>
      <c r="O522" t="str">
        <f t="shared" si="17"/>
        <v>July</v>
      </c>
      <c r="P522" t="str">
        <f t="shared" si="16"/>
        <v>Middle-Aged</v>
      </c>
    </row>
    <row r="523" spans="1:16" x14ac:dyDescent="0.25">
      <c r="A523">
        <v>1522</v>
      </c>
      <c r="B523" s="1">
        <v>45058</v>
      </c>
      <c r="C523" t="s">
        <v>49</v>
      </c>
      <c r="D523" t="s">
        <v>57</v>
      </c>
      <c r="E523" s="3">
        <v>589</v>
      </c>
      <c r="F523" s="3">
        <v>5</v>
      </c>
      <c r="G523" s="3">
        <v>2945</v>
      </c>
      <c r="H523" s="3">
        <v>26</v>
      </c>
      <c r="I523" t="s">
        <v>32</v>
      </c>
      <c r="J523" t="s">
        <v>51</v>
      </c>
      <c r="K523" t="s">
        <v>33</v>
      </c>
      <c r="L523" t="s">
        <v>47</v>
      </c>
      <c r="M523" s="2">
        <v>0.25</v>
      </c>
      <c r="N523" t="s">
        <v>29</v>
      </c>
      <c r="O523" t="str">
        <f t="shared" si="17"/>
        <v>May</v>
      </c>
      <c r="P523" t="str">
        <f t="shared" si="16"/>
        <v>Young Adult</v>
      </c>
    </row>
    <row r="524" spans="1:16" x14ac:dyDescent="0.25">
      <c r="A524">
        <v>1523</v>
      </c>
      <c r="B524" s="1">
        <v>45034</v>
      </c>
      <c r="C524" t="s">
        <v>16</v>
      </c>
      <c r="D524" t="s">
        <v>59</v>
      </c>
      <c r="E524" s="3">
        <v>849</v>
      </c>
      <c r="F524" s="3">
        <v>4</v>
      </c>
      <c r="G524" s="3">
        <v>3396</v>
      </c>
      <c r="H524" s="3">
        <v>21</v>
      </c>
      <c r="I524" t="s">
        <v>32</v>
      </c>
      <c r="J524" t="s">
        <v>48</v>
      </c>
      <c r="K524" t="s">
        <v>27</v>
      </c>
      <c r="L524" t="s">
        <v>34</v>
      </c>
      <c r="M524" s="2">
        <v>0.05</v>
      </c>
      <c r="N524" t="s">
        <v>22</v>
      </c>
      <c r="O524" t="str">
        <f t="shared" si="17"/>
        <v>April</v>
      </c>
      <c r="P524" t="str">
        <f t="shared" si="16"/>
        <v>Young Adult</v>
      </c>
    </row>
    <row r="525" spans="1:16" x14ac:dyDescent="0.25">
      <c r="A525">
        <v>1524</v>
      </c>
      <c r="B525" s="1">
        <v>44992</v>
      </c>
      <c r="C525" t="s">
        <v>49</v>
      </c>
      <c r="D525" t="s">
        <v>81</v>
      </c>
      <c r="E525" s="3">
        <v>69</v>
      </c>
      <c r="F525" s="3">
        <v>2</v>
      </c>
      <c r="G525" s="3">
        <v>138</v>
      </c>
      <c r="H525" s="3">
        <v>19</v>
      </c>
      <c r="I525" t="s">
        <v>32</v>
      </c>
      <c r="J525" t="s">
        <v>19</v>
      </c>
      <c r="K525" t="s">
        <v>33</v>
      </c>
      <c r="L525" t="s">
        <v>21</v>
      </c>
      <c r="M525" s="2">
        <v>0.1</v>
      </c>
      <c r="N525" t="s">
        <v>29</v>
      </c>
      <c r="O525" t="str">
        <f t="shared" si="17"/>
        <v>March</v>
      </c>
      <c r="P525" t="str">
        <f t="shared" si="16"/>
        <v>Young Adult</v>
      </c>
    </row>
    <row r="526" spans="1:16" x14ac:dyDescent="0.25">
      <c r="A526">
        <v>1525</v>
      </c>
      <c r="B526" s="1">
        <v>45118</v>
      </c>
      <c r="C526" t="s">
        <v>39</v>
      </c>
      <c r="D526" t="s">
        <v>46</v>
      </c>
      <c r="E526" s="3">
        <v>1255</v>
      </c>
      <c r="F526" s="3">
        <v>5</v>
      </c>
      <c r="G526" s="3">
        <v>6275</v>
      </c>
      <c r="H526" s="3">
        <v>52</v>
      </c>
      <c r="I526" t="s">
        <v>32</v>
      </c>
      <c r="J526" t="s">
        <v>51</v>
      </c>
      <c r="K526" t="s">
        <v>27</v>
      </c>
      <c r="L526" t="s">
        <v>47</v>
      </c>
      <c r="M526" s="2">
        <v>0.05</v>
      </c>
      <c r="N526" t="s">
        <v>22</v>
      </c>
      <c r="O526" t="str">
        <f t="shared" si="17"/>
        <v>July</v>
      </c>
      <c r="P526" t="str">
        <f t="shared" si="16"/>
        <v>Middle-Aged</v>
      </c>
    </row>
    <row r="527" spans="1:16" x14ac:dyDescent="0.25">
      <c r="A527">
        <v>1526</v>
      </c>
      <c r="B527" s="1">
        <v>45313</v>
      </c>
      <c r="C527" t="s">
        <v>24</v>
      </c>
      <c r="D527" t="s">
        <v>84</v>
      </c>
      <c r="E527" s="3">
        <v>1023</v>
      </c>
      <c r="F527" s="3">
        <v>1</v>
      </c>
      <c r="G527" s="3">
        <v>1023</v>
      </c>
      <c r="H527" s="3">
        <v>37</v>
      </c>
      <c r="I527" t="s">
        <v>18</v>
      </c>
      <c r="J527" t="s">
        <v>48</v>
      </c>
      <c r="K527" t="s">
        <v>45</v>
      </c>
      <c r="L527" t="s">
        <v>38</v>
      </c>
      <c r="M527" s="2">
        <v>0.2</v>
      </c>
      <c r="N527" t="s">
        <v>29</v>
      </c>
      <c r="O527" t="str">
        <f t="shared" si="17"/>
        <v>January</v>
      </c>
      <c r="P527" t="str">
        <f t="shared" si="16"/>
        <v>Adult</v>
      </c>
    </row>
    <row r="528" spans="1:16" x14ac:dyDescent="0.25">
      <c r="A528">
        <v>1527</v>
      </c>
      <c r="B528" s="1">
        <v>45196</v>
      </c>
      <c r="C528" t="s">
        <v>35</v>
      </c>
      <c r="D528" t="s">
        <v>36</v>
      </c>
      <c r="E528" s="3">
        <v>485</v>
      </c>
      <c r="F528" s="3">
        <v>4</v>
      </c>
      <c r="G528" s="3">
        <v>1940</v>
      </c>
      <c r="H528" s="3">
        <v>56</v>
      </c>
      <c r="I528" t="s">
        <v>18</v>
      </c>
      <c r="J528" t="s">
        <v>41</v>
      </c>
      <c r="K528" t="s">
        <v>27</v>
      </c>
      <c r="L528" t="s">
        <v>38</v>
      </c>
      <c r="M528" s="2">
        <v>0.3</v>
      </c>
      <c r="N528" t="s">
        <v>29</v>
      </c>
      <c r="O528" t="str">
        <f t="shared" si="17"/>
        <v>September</v>
      </c>
      <c r="P528" t="str">
        <f t="shared" si="16"/>
        <v>Middle-Aged</v>
      </c>
    </row>
    <row r="529" spans="1:16" x14ac:dyDescent="0.25">
      <c r="A529">
        <v>1528</v>
      </c>
      <c r="B529" s="1">
        <v>45199</v>
      </c>
      <c r="C529" t="s">
        <v>35</v>
      </c>
      <c r="D529" t="s">
        <v>74</v>
      </c>
      <c r="E529" s="3">
        <v>1161</v>
      </c>
      <c r="F529" s="3">
        <v>2</v>
      </c>
      <c r="G529" s="3">
        <v>2322</v>
      </c>
      <c r="H529" s="3">
        <v>55</v>
      </c>
      <c r="I529" t="s">
        <v>18</v>
      </c>
      <c r="J529" t="s">
        <v>60</v>
      </c>
      <c r="K529" t="s">
        <v>33</v>
      </c>
      <c r="L529" t="s">
        <v>28</v>
      </c>
      <c r="M529" s="2">
        <v>0.05</v>
      </c>
      <c r="N529" t="s">
        <v>29</v>
      </c>
      <c r="O529" t="str">
        <f t="shared" si="17"/>
        <v>September</v>
      </c>
      <c r="P529" t="str">
        <f t="shared" si="16"/>
        <v>Middle-Aged</v>
      </c>
    </row>
    <row r="530" spans="1:16" x14ac:dyDescent="0.25">
      <c r="A530">
        <v>1529</v>
      </c>
      <c r="B530" s="1">
        <v>45241</v>
      </c>
      <c r="C530" t="s">
        <v>52</v>
      </c>
      <c r="D530" t="s">
        <v>73</v>
      </c>
      <c r="E530" s="3">
        <v>1292</v>
      </c>
      <c r="F530" s="3">
        <v>3</v>
      </c>
      <c r="G530" s="3">
        <v>3876</v>
      </c>
      <c r="H530" s="3">
        <v>45</v>
      </c>
      <c r="I530" t="s">
        <v>32</v>
      </c>
      <c r="J530" t="s">
        <v>19</v>
      </c>
      <c r="K530" t="s">
        <v>33</v>
      </c>
      <c r="L530" t="s">
        <v>34</v>
      </c>
      <c r="M530" s="2">
        <v>0.2</v>
      </c>
      <c r="N530" t="s">
        <v>29</v>
      </c>
      <c r="O530" t="str">
        <f t="shared" si="17"/>
        <v>November</v>
      </c>
      <c r="P530" t="str">
        <f t="shared" si="16"/>
        <v>Adult</v>
      </c>
    </row>
    <row r="531" spans="1:16" x14ac:dyDescent="0.25">
      <c r="A531">
        <v>1530</v>
      </c>
      <c r="B531" s="1">
        <v>44929</v>
      </c>
      <c r="C531" t="s">
        <v>30</v>
      </c>
      <c r="D531" t="s">
        <v>79</v>
      </c>
      <c r="E531" s="3">
        <v>500</v>
      </c>
      <c r="F531" s="3">
        <v>5</v>
      </c>
      <c r="G531" s="3">
        <v>2500</v>
      </c>
      <c r="H531" s="3">
        <v>55</v>
      </c>
      <c r="I531" t="s">
        <v>18</v>
      </c>
      <c r="J531" t="s">
        <v>19</v>
      </c>
      <c r="K531" t="s">
        <v>42</v>
      </c>
      <c r="L531" t="s">
        <v>38</v>
      </c>
      <c r="M531" s="2">
        <v>0.15</v>
      </c>
      <c r="N531" t="s">
        <v>22</v>
      </c>
      <c r="O531" t="str">
        <f t="shared" si="17"/>
        <v>January</v>
      </c>
      <c r="P531" t="str">
        <f t="shared" si="16"/>
        <v>Middle-Aged</v>
      </c>
    </row>
    <row r="532" spans="1:16" x14ac:dyDescent="0.25">
      <c r="A532">
        <v>1531</v>
      </c>
      <c r="B532" s="1">
        <v>45104</v>
      </c>
      <c r="C532" t="s">
        <v>30</v>
      </c>
      <c r="D532" t="s">
        <v>31</v>
      </c>
      <c r="E532" s="3">
        <v>696</v>
      </c>
      <c r="F532" s="3">
        <v>2</v>
      </c>
      <c r="G532" s="3">
        <v>1392</v>
      </c>
      <c r="H532" s="3">
        <v>27</v>
      </c>
      <c r="I532" t="s">
        <v>32</v>
      </c>
      <c r="J532" t="s">
        <v>26</v>
      </c>
      <c r="K532" t="s">
        <v>20</v>
      </c>
      <c r="L532" t="s">
        <v>34</v>
      </c>
      <c r="M532" s="2">
        <v>0.05</v>
      </c>
      <c r="N532" t="s">
        <v>22</v>
      </c>
      <c r="O532" t="str">
        <f t="shared" si="17"/>
        <v>June</v>
      </c>
      <c r="P532" t="str">
        <f t="shared" si="16"/>
        <v>Young Adult</v>
      </c>
    </row>
    <row r="533" spans="1:16" x14ac:dyDescent="0.25">
      <c r="A533">
        <v>1532</v>
      </c>
      <c r="B533" s="1">
        <v>45128</v>
      </c>
      <c r="C533" t="s">
        <v>16</v>
      </c>
      <c r="D533" t="s">
        <v>62</v>
      </c>
      <c r="E533" s="3">
        <v>541</v>
      </c>
      <c r="F533" s="3">
        <v>5</v>
      </c>
      <c r="G533" s="3">
        <v>2705</v>
      </c>
      <c r="H533" s="3">
        <v>41</v>
      </c>
      <c r="I533" t="s">
        <v>18</v>
      </c>
      <c r="J533" t="s">
        <v>58</v>
      </c>
      <c r="K533" t="s">
        <v>33</v>
      </c>
      <c r="L533" t="s">
        <v>21</v>
      </c>
      <c r="M533" s="2">
        <v>0.3</v>
      </c>
      <c r="N533" t="s">
        <v>22</v>
      </c>
      <c r="O533" t="str">
        <f t="shared" si="17"/>
        <v>July</v>
      </c>
      <c r="P533" t="str">
        <f t="shared" si="16"/>
        <v>Adult</v>
      </c>
    </row>
    <row r="534" spans="1:16" x14ac:dyDescent="0.25">
      <c r="A534">
        <v>1533</v>
      </c>
      <c r="B534" s="1">
        <v>45059</v>
      </c>
      <c r="C534" t="s">
        <v>16</v>
      </c>
      <c r="D534" t="s">
        <v>62</v>
      </c>
      <c r="E534" s="3">
        <v>365</v>
      </c>
      <c r="F534" s="3">
        <v>3</v>
      </c>
      <c r="G534" s="3">
        <v>1095</v>
      </c>
      <c r="H534" s="3">
        <v>26</v>
      </c>
      <c r="I534" t="s">
        <v>18</v>
      </c>
      <c r="J534" t="s">
        <v>58</v>
      </c>
      <c r="K534" t="s">
        <v>27</v>
      </c>
      <c r="L534" t="s">
        <v>47</v>
      </c>
      <c r="M534" s="2">
        <v>0.3</v>
      </c>
      <c r="N534" t="s">
        <v>22</v>
      </c>
      <c r="O534" t="str">
        <f t="shared" si="17"/>
        <v>May</v>
      </c>
      <c r="P534" t="str">
        <f t="shared" si="16"/>
        <v>Young Adult</v>
      </c>
    </row>
    <row r="535" spans="1:16" x14ac:dyDescent="0.25">
      <c r="A535">
        <v>1534</v>
      </c>
      <c r="B535" s="1">
        <v>45184</v>
      </c>
      <c r="C535" t="s">
        <v>30</v>
      </c>
      <c r="D535" t="s">
        <v>69</v>
      </c>
      <c r="E535" s="3">
        <v>1011</v>
      </c>
      <c r="F535" s="3">
        <v>1</v>
      </c>
      <c r="G535" s="3">
        <v>1011</v>
      </c>
      <c r="H535" s="3">
        <v>29</v>
      </c>
      <c r="I535" t="s">
        <v>18</v>
      </c>
      <c r="J535" t="s">
        <v>63</v>
      </c>
      <c r="K535" t="s">
        <v>20</v>
      </c>
      <c r="L535" t="s">
        <v>34</v>
      </c>
      <c r="M535" s="2">
        <v>0.15</v>
      </c>
      <c r="N535" t="s">
        <v>22</v>
      </c>
      <c r="O535" t="str">
        <f t="shared" si="17"/>
        <v>September</v>
      </c>
      <c r="P535" t="str">
        <f t="shared" si="16"/>
        <v>Young Adult</v>
      </c>
    </row>
    <row r="536" spans="1:16" x14ac:dyDescent="0.25">
      <c r="A536">
        <v>1535</v>
      </c>
      <c r="B536" s="1">
        <v>44948</v>
      </c>
      <c r="C536" t="s">
        <v>39</v>
      </c>
      <c r="D536" t="s">
        <v>78</v>
      </c>
      <c r="E536" s="3">
        <v>40</v>
      </c>
      <c r="F536" s="3">
        <v>5</v>
      </c>
      <c r="G536" s="3">
        <v>200</v>
      </c>
      <c r="H536" s="3">
        <v>32</v>
      </c>
      <c r="I536" t="s">
        <v>32</v>
      </c>
      <c r="J536" t="s">
        <v>51</v>
      </c>
      <c r="K536" t="s">
        <v>42</v>
      </c>
      <c r="L536" t="s">
        <v>38</v>
      </c>
      <c r="M536" s="2">
        <v>0.3</v>
      </c>
      <c r="N536" t="s">
        <v>29</v>
      </c>
      <c r="O536" t="str">
        <f t="shared" si="17"/>
        <v>January</v>
      </c>
      <c r="P536" t="str">
        <f t="shared" si="16"/>
        <v>Adult</v>
      </c>
    </row>
    <row r="537" spans="1:16" x14ac:dyDescent="0.25">
      <c r="A537">
        <v>1536</v>
      </c>
      <c r="B537" s="1">
        <v>45028</v>
      </c>
      <c r="C537" t="s">
        <v>16</v>
      </c>
      <c r="D537" t="s">
        <v>56</v>
      </c>
      <c r="E537" s="3">
        <v>69</v>
      </c>
      <c r="F537" s="3">
        <v>1</v>
      </c>
      <c r="G537" s="3">
        <v>69</v>
      </c>
      <c r="H537" s="3">
        <v>51</v>
      </c>
      <c r="I537" t="s">
        <v>32</v>
      </c>
      <c r="J537" t="s">
        <v>19</v>
      </c>
      <c r="K537" t="s">
        <v>33</v>
      </c>
      <c r="L537" t="s">
        <v>34</v>
      </c>
      <c r="M537" s="2">
        <v>0.1</v>
      </c>
      <c r="N537" t="s">
        <v>22</v>
      </c>
      <c r="O537" t="str">
        <f t="shared" si="17"/>
        <v>April</v>
      </c>
      <c r="P537" t="str">
        <f t="shared" si="16"/>
        <v>Middle-Aged</v>
      </c>
    </row>
    <row r="538" spans="1:16" x14ac:dyDescent="0.25">
      <c r="A538">
        <v>1537</v>
      </c>
      <c r="B538" s="1">
        <v>45091</v>
      </c>
      <c r="C538" t="s">
        <v>49</v>
      </c>
      <c r="D538" t="s">
        <v>64</v>
      </c>
      <c r="E538" s="3">
        <v>59</v>
      </c>
      <c r="F538" s="3">
        <v>3</v>
      </c>
      <c r="G538" s="3">
        <v>177</v>
      </c>
      <c r="H538" s="3">
        <v>52</v>
      </c>
      <c r="I538" t="s">
        <v>32</v>
      </c>
      <c r="J538" t="s">
        <v>43</v>
      </c>
      <c r="K538" t="s">
        <v>27</v>
      </c>
      <c r="L538" t="s">
        <v>47</v>
      </c>
      <c r="M538" s="2">
        <v>0.25</v>
      </c>
      <c r="N538" t="s">
        <v>22</v>
      </c>
      <c r="O538" t="str">
        <f t="shared" si="17"/>
        <v>June</v>
      </c>
      <c r="P538" t="str">
        <f t="shared" si="16"/>
        <v>Middle-Aged</v>
      </c>
    </row>
    <row r="539" spans="1:16" x14ac:dyDescent="0.25">
      <c r="A539">
        <v>1538</v>
      </c>
      <c r="B539" s="1">
        <v>45152</v>
      </c>
      <c r="C539" t="s">
        <v>24</v>
      </c>
      <c r="D539" t="s">
        <v>54</v>
      </c>
      <c r="E539" s="3">
        <v>810</v>
      </c>
      <c r="F539" s="3">
        <v>5</v>
      </c>
      <c r="G539" s="3">
        <v>4050</v>
      </c>
      <c r="H539" s="3">
        <v>59</v>
      </c>
      <c r="I539" t="s">
        <v>18</v>
      </c>
      <c r="J539" t="s">
        <v>58</v>
      </c>
      <c r="K539" t="s">
        <v>42</v>
      </c>
      <c r="L539" t="s">
        <v>21</v>
      </c>
      <c r="M539" s="2">
        <v>0.1</v>
      </c>
      <c r="N539" t="s">
        <v>29</v>
      </c>
      <c r="O539" t="str">
        <f t="shared" si="17"/>
        <v>August</v>
      </c>
      <c r="P539" t="str">
        <f t="shared" si="16"/>
        <v>Middle-Aged</v>
      </c>
    </row>
    <row r="540" spans="1:16" x14ac:dyDescent="0.25">
      <c r="A540">
        <v>1539</v>
      </c>
      <c r="B540" s="1">
        <v>45095</v>
      </c>
      <c r="C540" t="s">
        <v>35</v>
      </c>
      <c r="D540" t="s">
        <v>75</v>
      </c>
      <c r="E540" s="3">
        <v>273</v>
      </c>
      <c r="F540" s="3">
        <v>1</v>
      </c>
      <c r="G540" s="3">
        <v>273</v>
      </c>
      <c r="H540" s="3">
        <v>46</v>
      </c>
      <c r="I540" t="s">
        <v>18</v>
      </c>
      <c r="J540" t="s">
        <v>60</v>
      </c>
      <c r="K540" t="s">
        <v>42</v>
      </c>
      <c r="L540" t="s">
        <v>21</v>
      </c>
      <c r="M540" s="2">
        <v>0.15</v>
      </c>
      <c r="N540" t="s">
        <v>22</v>
      </c>
      <c r="O540" t="str">
        <f t="shared" si="17"/>
        <v>June</v>
      </c>
      <c r="P540" t="str">
        <f t="shared" si="16"/>
        <v>Adult</v>
      </c>
    </row>
    <row r="541" spans="1:16" x14ac:dyDescent="0.25">
      <c r="A541">
        <v>1540</v>
      </c>
      <c r="B541" s="1">
        <v>45226</v>
      </c>
      <c r="C541" t="s">
        <v>35</v>
      </c>
      <c r="D541" t="s">
        <v>36</v>
      </c>
      <c r="E541" s="3">
        <v>1325</v>
      </c>
      <c r="F541" s="3">
        <v>4</v>
      </c>
      <c r="G541" s="3">
        <v>5300</v>
      </c>
      <c r="H541" s="3">
        <v>33</v>
      </c>
      <c r="I541" t="s">
        <v>32</v>
      </c>
      <c r="J541" t="s">
        <v>43</v>
      </c>
      <c r="K541" t="s">
        <v>20</v>
      </c>
      <c r="L541" t="s">
        <v>28</v>
      </c>
      <c r="M541" s="2">
        <v>0.05</v>
      </c>
      <c r="N541" t="s">
        <v>22</v>
      </c>
      <c r="O541" t="str">
        <f t="shared" si="17"/>
        <v>October</v>
      </c>
      <c r="P541" t="str">
        <f t="shared" si="16"/>
        <v>Adult</v>
      </c>
    </row>
    <row r="542" spans="1:16" x14ac:dyDescent="0.25">
      <c r="A542">
        <v>1541</v>
      </c>
      <c r="B542" s="1">
        <v>45014</v>
      </c>
      <c r="C542" t="s">
        <v>24</v>
      </c>
      <c r="D542" t="s">
        <v>54</v>
      </c>
      <c r="E542" s="3">
        <v>468</v>
      </c>
      <c r="F542" s="3">
        <v>3</v>
      </c>
      <c r="G542" s="3">
        <v>1404</v>
      </c>
      <c r="H542" s="3">
        <v>31</v>
      </c>
      <c r="I542" t="s">
        <v>32</v>
      </c>
      <c r="J542" t="s">
        <v>51</v>
      </c>
      <c r="K542" t="s">
        <v>27</v>
      </c>
      <c r="L542" t="s">
        <v>38</v>
      </c>
      <c r="M542" s="2">
        <v>0.05</v>
      </c>
      <c r="N542" t="s">
        <v>22</v>
      </c>
      <c r="O542" t="str">
        <f t="shared" si="17"/>
        <v>March</v>
      </c>
      <c r="P542" t="str">
        <f t="shared" si="16"/>
        <v>Adult</v>
      </c>
    </row>
    <row r="543" spans="1:16" x14ac:dyDescent="0.25">
      <c r="A543">
        <v>1542</v>
      </c>
      <c r="B543" s="1">
        <v>45171</v>
      </c>
      <c r="C543" t="s">
        <v>30</v>
      </c>
      <c r="D543" t="s">
        <v>69</v>
      </c>
      <c r="E543" s="3">
        <v>392</v>
      </c>
      <c r="F543" s="3">
        <v>2</v>
      </c>
      <c r="G543" s="3">
        <v>784</v>
      </c>
      <c r="H543" s="3">
        <v>24</v>
      </c>
      <c r="I543" t="s">
        <v>18</v>
      </c>
      <c r="J543" t="s">
        <v>58</v>
      </c>
      <c r="K543" t="s">
        <v>45</v>
      </c>
      <c r="L543" t="s">
        <v>38</v>
      </c>
      <c r="M543" s="2">
        <v>0.25</v>
      </c>
      <c r="N543" t="s">
        <v>22</v>
      </c>
      <c r="O543" t="str">
        <f t="shared" si="17"/>
        <v>September</v>
      </c>
      <c r="P543" t="str">
        <f t="shared" si="16"/>
        <v>Young Adult</v>
      </c>
    </row>
    <row r="544" spans="1:16" x14ac:dyDescent="0.25">
      <c r="A544">
        <v>1543</v>
      </c>
      <c r="B544" s="1">
        <v>45293</v>
      </c>
      <c r="C544" t="s">
        <v>16</v>
      </c>
      <c r="D544" t="s">
        <v>62</v>
      </c>
      <c r="E544" s="3">
        <v>373</v>
      </c>
      <c r="F544" s="3">
        <v>2</v>
      </c>
      <c r="G544" s="3">
        <v>746</v>
      </c>
      <c r="H544" s="3">
        <v>36</v>
      </c>
      <c r="I544" t="s">
        <v>32</v>
      </c>
      <c r="J544" t="s">
        <v>43</v>
      </c>
      <c r="K544" t="s">
        <v>27</v>
      </c>
      <c r="L544" t="s">
        <v>34</v>
      </c>
      <c r="M544" s="2">
        <v>0.05</v>
      </c>
      <c r="N544" t="s">
        <v>29</v>
      </c>
      <c r="O544" t="str">
        <f t="shared" si="17"/>
        <v>January</v>
      </c>
      <c r="P544" t="str">
        <f t="shared" si="16"/>
        <v>Adult</v>
      </c>
    </row>
    <row r="545" spans="1:16" x14ac:dyDescent="0.25">
      <c r="A545">
        <v>1544</v>
      </c>
      <c r="B545" s="1">
        <v>45134</v>
      </c>
      <c r="C545" t="s">
        <v>39</v>
      </c>
      <c r="D545" t="s">
        <v>68</v>
      </c>
      <c r="E545" s="3">
        <v>1094</v>
      </c>
      <c r="F545" s="3">
        <v>4</v>
      </c>
      <c r="G545" s="3">
        <v>4376</v>
      </c>
      <c r="H545" s="3">
        <v>37</v>
      </c>
      <c r="I545" t="s">
        <v>18</v>
      </c>
      <c r="J545" t="s">
        <v>43</v>
      </c>
      <c r="K545" t="s">
        <v>42</v>
      </c>
      <c r="L545" t="s">
        <v>47</v>
      </c>
      <c r="M545" s="2">
        <v>0.2</v>
      </c>
      <c r="N545" t="s">
        <v>29</v>
      </c>
      <c r="O545" t="str">
        <f t="shared" si="17"/>
        <v>July</v>
      </c>
      <c r="P545" t="str">
        <f t="shared" si="16"/>
        <v>Adult</v>
      </c>
    </row>
    <row r="546" spans="1:16" x14ac:dyDescent="0.25">
      <c r="A546">
        <v>1545</v>
      </c>
      <c r="B546" s="1">
        <v>44960</v>
      </c>
      <c r="C546" t="s">
        <v>24</v>
      </c>
      <c r="D546" t="s">
        <v>76</v>
      </c>
      <c r="E546" s="3">
        <v>1479</v>
      </c>
      <c r="F546" s="3">
        <v>4</v>
      </c>
      <c r="G546" s="3">
        <v>5916</v>
      </c>
      <c r="H546" s="3">
        <v>33</v>
      </c>
      <c r="I546" t="s">
        <v>18</v>
      </c>
      <c r="J546" t="s">
        <v>43</v>
      </c>
      <c r="K546" t="s">
        <v>45</v>
      </c>
      <c r="L546" t="s">
        <v>21</v>
      </c>
      <c r="M546" s="2">
        <v>0.3</v>
      </c>
      <c r="N546" t="s">
        <v>29</v>
      </c>
      <c r="O546" t="str">
        <f t="shared" si="17"/>
        <v>February</v>
      </c>
      <c r="P546" t="str">
        <f t="shared" si="16"/>
        <v>Adult</v>
      </c>
    </row>
    <row r="547" spans="1:16" x14ac:dyDescent="0.25">
      <c r="A547">
        <v>1546</v>
      </c>
      <c r="B547" s="1">
        <v>45049</v>
      </c>
      <c r="C547" t="s">
        <v>30</v>
      </c>
      <c r="D547" t="s">
        <v>77</v>
      </c>
      <c r="E547" s="3">
        <v>401</v>
      </c>
      <c r="F547" s="3">
        <v>3</v>
      </c>
      <c r="G547" s="3">
        <v>1203</v>
      </c>
      <c r="H547" s="3">
        <v>33</v>
      </c>
      <c r="I547" t="s">
        <v>18</v>
      </c>
      <c r="J547" t="s">
        <v>58</v>
      </c>
      <c r="K547" t="s">
        <v>42</v>
      </c>
      <c r="L547" t="s">
        <v>38</v>
      </c>
      <c r="M547" s="2">
        <v>0.25</v>
      </c>
      <c r="N547" t="s">
        <v>29</v>
      </c>
      <c r="O547" t="str">
        <f t="shared" si="17"/>
        <v>May</v>
      </c>
      <c r="P547" t="str">
        <f t="shared" si="16"/>
        <v>Adult</v>
      </c>
    </row>
    <row r="548" spans="1:16" x14ac:dyDescent="0.25">
      <c r="A548">
        <v>1547</v>
      </c>
      <c r="B548" s="1">
        <v>45051</v>
      </c>
      <c r="C548" t="s">
        <v>39</v>
      </c>
      <c r="D548" t="s">
        <v>61</v>
      </c>
      <c r="E548" s="3">
        <v>198</v>
      </c>
      <c r="F548" s="3">
        <v>2</v>
      </c>
      <c r="G548" s="3">
        <v>396</v>
      </c>
      <c r="H548" s="3">
        <v>30</v>
      </c>
      <c r="I548" t="s">
        <v>18</v>
      </c>
      <c r="J548" t="s">
        <v>60</v>
      </c>
      <c r="K548" t="s">
        <v>33</v>
      </c>
      <c r="L548" t="s">
        <v>21</v>
      </c>
      <c r="M548" s="2">
        <v>0.05</v>
      </c>
      <c r="N548" t="s">
        <v>22</v>
      </c>
      <c r="O548" t="str">
        <f t="shared" si="17"/>
        <v>May</v>
      </c>
      <c r="P548" t="str">
        <f t="shared" si="16"/>
        <v>Adult</v>
      </c>
    </row>
    <row r="549" spans="1:16" x14ac:dyDescent="0.25">
      <c r="A549">
        <v>1548</v>
      </c>
      <c r="B549" s="1">
        <v>44989</v>
      </c>
      <c r="C549" t="s">
        <v>30</v>
      </c>
      <c r="D549" t="s">
        <v>31</v>
      </c>
      <c r="E549" s="3">
        <v>248</v>
      </c>
      <c r="F549" s="3">
        <v>5</v>
      </c>
      <c r="G549" s="3">
        <v>1240</v>
      </c>
      <c r="H549" s="3">
        <v>34</v>
      </c>
      <c r="I549" t="s">
        <v>32</v>
      </c>
      <c r="J549" t="s">
        <v>58</v>
      </c>
      <c r="K549" t="s">
        <v>37</v>
      </c>
      <c r="L549" t="s">
        <v>47</v>
      </c>
      <c r="M549" s="2">
        <v>0.25</v>
      </c>
      <c r="N549" t="s">
        <v>22</v>
      </c>
      <c r="O549" t="str">
        <f t="shared" si="17"/>
        <v>March</v>
      </c>
      <c r="P549" t="str">
        <f t="shared" si="16"/>
        <v>Adult</v>
      </c>
    </row>
    <row r="550" spans="1:16" x14ac:dyDescent="0.25">
      <c r="A550">
        <v>1549</v>
      </c>
      <c r="B550" s="1">
        <v>45076</v>
      </c>
      <c r="C550" t="s">
        <v>24</v>
      </c>
      <c r="D550" t="s">
        <v>25</v>
      </c>
      <c r="E550" s="3">
        <v>499</v>
      </c>
      <c r="F550" s="3">
        <v>5</v>
      </c>
      <c r="G550" s="3">
        <v>2495</v>
      </c>
      <c r="H550" s="3">
        <v>52</v>
      </c>
      <c r="I550" t="s">
        <v>32</v>
      </c>
      <c r="J550" t="s">
        <v>48</v>
      </c>
      <c r="K550" t="s">
        <v>27</v>
      </c>
      <c r="L550" t="s">
        <v>34</v>
      </c>
      <c r="M550" s="2">
        <v>0.1</v>
      </c>
      <c r="N550" t="s">
        <v>29</v>
      </c>
      <c r="O550" t="str">
        <f t="shared" si="17"/>
        <v>May</v>
      </c>
      <c r="P550" t="str">
        <f t="shared" si="16"/>
        <v>Middle-Aged</v>
      </c>
    </row>
    <row r="551" spans="1:16" x14ac:dyDescent="0.25">
      <c r="A551">
        <v>1550</v>
      </c>
      <c r="B551" s="1">
        <v>45170</v>
      </c>
      <c r="C551" t="s">
        <v>24</v>
      </c>
      <c r="D551" t="s">
        <v>80</v>
      </c>
      <c r="E551" s="3">
        <v>1466</v>
      </c>
      <c r="F551" s="3">
        <v>2</v>
      </c>
      <c r="G551" s="3">
        <v>2932</v>
      </c>
      <c r="H551" s="3">
        <v>43</v>
      </c>
      <c r="I551" t="s">
        <v>32</v>
      </c>
      <c r="J551" t="s">
        <v>60</v>
      </c>
      <c r="K551" t="s">
        <v>42</v>
      </c>
      <c r="L551" t="s">
        <v>28</v>
      </c>
      <c r="M551" s="2">
        <v>0.3</v>
      </c>
      <c r="N551" t="s">
        <v>22</v>
      </c>
      <c r="O551" t="str">
        <f t="shared" si="17"/>
        <v>September</v>
      </c>
      <c r="P551" t="str">
        <f t="shared" si="16"/>
        <v>Adult</v>
      </c>
    </row>
    <row r="552" spans="1:16" x14ac:dyDescent="0.25">
      <c r="A552">
        <v>1551</v>
      </c>
      <c r="B552" s="1">
        <v>45120</v>
      </c>
      <c r="C552" t="s">
        <v>16</v>
      </c>
      <c r="D552" t="s">
        <v>59</v>
      </c>
      <c r="E552" s="3">
        <v>976</v>
      </c>
      <c r="F552" s="3">
        <v>1</v>
      </c>
      <c r="G552" s="3">
        <v>976</v>
      </c>
      <c r="H552" s="3">
        <v>59</v>
      </c>
      <c r="I552" t="s">
        <v>32</v>
      </c>
      <c r="J552" t="s">
        <v>60</v>
      </c>
      <c r="K552" t="s">
        <v>45</v>
      </c>
      <c r="L552" t="s">
        <v>47</v>
      </c>
      <c r="M552" s="2">
        <v>0.1</v>
      </c>
      <c r="N552" t="s">
        <v>22</v>
      </c>
      <c r="O552" t="str">
        <f t="shared" si="17"/>
        <v>July</v>
      </c>
      <c r="P552" t="str">
        <f t="shared" si="16"/>
        <v>Middle-Aged</v>
      </c>
    </row>
    <row r="553" spans="1:16" x14ac:dyDescent="0.25">
      <c r="A553">
        <v>1552</v>
      </c>
      <c r="B553" s="1">
        <v>45069</v>
      </c>
      <c r="C553" t="s">
        <v>39</v>
      </c>
      <c r="D553" t="s">
        <v>46</v>
      </c>
      <c r="E553" s="3">
        <v>787</v>
      </c>
      <c r="F553" s="3">
        <v>3</v>
      </c>
      <c r="G553" s="3">
        <v>2361</v>
      </c>
      <c r="H553" s="3">
        <v>24</v>
      </c>
      <c r="I553" t="s">
        <v>32</v>
      </c>
      <c r="J553" t="s">
        <v>55</v>
      </c>
      <c r="K553" t="s">
        <v>42</v>
      </c>
      <c r="L553" t="s">
        <v>21</v>
      </c>
      <c r="M553" s="2">
        <v>0.3</v>
      </c>
      <c r="N553" t="s">
        <v>29</v>
      </c>
      <c r="O553" t="str">
        <f t="shared" si="17"/>
        <v>May</v>
      </c>
      <c r="P553" t="str">
        <f t="shared" si="16"/>
        <v>Young Adult</v>
      </c>
    </row>
    <row r="554" spans="1:16" x14ac:dyDescent="0.25">
      <c r="A554">
        <v>1553</v>
      </c>
      <c r="B554" s="1">
        <v>44927</v>
      </c>
      <c r="C554" t="s">
        <v>35</v>
      </c>
      <c r="D554" t="s">
        <v>70</v>
      </c>
      <c r="E554" s="3">
        <v>1371</v>
      </c>
      <c r="F554" s="3">
        <v>4</v>
      </c>
      <c r="G554" s="3">
        <v>5484</v>
      </c>
      <c r="H554" s="3">
        <v>60</v>
      </c>
      <c r="I554" t="s">
        <v>18</v>
      </c>
      <c r="J554" t="s">
        <v>60</v>
      </c>
      <c r="K554" t="s">
        <v>33</v>
      </c>
      <c r="L554" t="s">
        <v>34</v>
      </c>
      <c r="M554" s="2">
        <v>0.1</v>
      </c>
      <c r="N554" t="s">
        <v>22</v>
      </c>
      <c r="O554" t="str">
        <f t="shared" si="17"/>
        <v>January</v>
      </c>
      <c r="P554" t="str">
        <f t="shared" si="16"/>
        <v>Middle-Aged</v>
      </c>
    </row>
    <row r="555" spans="1:16" x14ac:dyDescent="0.25">
      <c r="A555">
        <v>1554</v>
      </c>
      <c r="B555" s="1">
        <v>45076</v>
      </c>
      <c r="C555" t="s">
        <v>39</v>
      </c>
      <c r="D555" t="s">
        <v>68</v>
      </c>
      <c r="E555" s="3">
        <v>1453</v>
      </c>
      <c r="F555" s="3">
        <v>4</v>
      </c>
      <c r="G555" s="3">
        <v>5812</v>
      </c>
      <c r="H555" s="3">
        <v>46</v>
      </c>
      <c r="I555" t="s">
        <v>32</v>
      </c>
      <c r="J555" t="s">
        <v>60</v>
      </c>
      <c r="K555" t="s">
        <v>27</v>
      </c>
      <c r="L555" t="s">
        <v>28</v>
      </c>
      <c r="M555" s="2">
        <v>0.25</v>
      </c>
      <c r="N555" t="s">
        <v>22</v>
      </c>
      <c r="O555" t="str">
        <f t="shared" si="17"/>
        <v>May</v>
      </c>
      <c r="P555" t="str">
        <f t="shared" si="16"/>
        <v>Adult</v>
      </c>
    </row>
    <row r="556" spans="1:16" x14ac:dyDescent="0.25">
      <c r="A556">
        <v>1555</v>
      </c>
      <c r="B556" s="1">
        <v>44933</v>
      </c>
      <c r="C556" t="s">
        <v>16</v>
      </c>
      <c r="D556" t="s">
        <v>71</v>
      </c>
      <c r="E556" s="3">
        <v>872</v>
      </c>
      <c r="F556" s="3">
        <v>5</v>
      </c>
      <c r="G556" s="3">
        <v>4360</v>
      </c>
      <c r="H556" s="3">
        <v>43</v>
      </c>
      <c r="I556" t="s">
        <v>18</v>
      </c>
      <c r="J556" t="s">
        <v>63</v>
      </c>
      <c r="K556" t="s">
        <v>27</v>
      </c>
      <c r="L556" t="s">
        <v>34</v>
      </c>
      <c r="M556" s="2">
        <v>0.25</v>
      </c>
      <c r="N556" t="s">
        <v>22</v>
      </c>
      <c r="O556" t="str">
        <f t="shared" si="17"/>
        <v>January</v>
      </c>
      <c r="P556" t="str">
        <f t="shared" si="16"/>
        <v>Adult</v>
      </c>
    </row>
    <row r="557" spans="1:16" x14ac:dyDescent="0.25">
      <c r="A557">
        <v>1556</v>
      </c>
      <c r="B557" s="1">
        <v>44978</v>
      </c>
      <c r="C557" t="s">
        <v>49</v>
      </c>
      <c r="D557" t="s">
        <v>57</v>
      </c>
      <c r="E557" s="3">
        <v>159</v>
      </c>
      <c r="F557" s="3">
        <v>3</v>
      </c>
      <c r="G557" s="3">
        <v>477</v>
      </c>
      <c r="H557" s="3">
        <v>40</v>
      </c>
      <c r="I557" t="s">
        <v>18</v>
      </c>
      <c r="J557" t="s">
        <v>63</v>
      </c>
      <c r="K557" t="s">
        <v>37</v>
      </c>
      <c r="L557" t="s">
        <v>38</v>
      </c>
      <c r="M557" s="2">
        <v>0.3</v>
      </c>
      <c r="N557" t="s">
        <v>29</v>
      </c>
      <c r="O557" t="str">
        <f t="shared" si="17"/>
        <v>February</v>
      </c>
      <c r="P557" t="str">
        <f t="shared" si="16"/>
        <v>Adult</v>
      </c>
    </row>
    <row r="558" spans="1:16" x14ac:dyDescent="0.25">
      <c r="A558">
        <v>1557</v>
      </c>
      <c r="B558" s="1">
        <v>45260</v>
      </c>
      <c r="C558" t="s">
        <v>30</v>
      </c>
      <c r="D558" t="s">
        <v>44</v>
      </c>
      <c r="E558" s="3">
        <v>1271</v>
      </c>
      <c r="F558" s="3">
        <v>2</v>
      </c>
      <c r="G558" s="3">
        <v>2542</v>
      </c>
      <c r="H558" s="3">
        <v>45</v>
      </c>
      <c r="I558" t="s">
        <v>32</v>
      </c>
      <c r="J558" t="s">
        <v>51</v>
      </c>
      <c r="K558" t="s">
        <v>20</v>
      </c>
      <c r="L558" t="s">
        <v>28</v>
      </c>
      <c r="M558" s="2">
        <v>0.15</v>
      </c>
      <c r="N558" t="s">
        <v>29</v>
      </c>
      <c r="O558" t="str">
        <f t="shared" si="17"/>
        <v>November</v>
      </c>
      <c r="P558" t="str">
        <f t="shared" si="16"/>
        <v>Adult</v>
      </c>
    </row>
    <row r="559" spans="1:16" x14ac:dyDescent="0.25">
      <c r="A559">
        <v>1558</v>
      </c>
      <c r="B559" s="1">
        <v>45056</v>
      </c>
      <c r="C559" t="s">
        <v>30</v>
      </c>
      <c r="D559" t="s">
        <v>77</v>
      </c>
      <c r="E559" s="3">
        <v>643</v>
      </c>
      <c r="F559" s="3">
        <v>5</v>
      </c>
      <c r="G559" s="3">
        <v>3215</v>
      </c>
      <c r="H559" s="3">
        <v>48</v>
      </c>
      <c r="I559" t="s">
        <v>32</v>
      </c>
      <c r="J559" t="s">
        <v>58</v>
      </c>
      <c r="K559" t="s">
        <v>45</v>
      </c>
      <c r="L559" t="s">
        <v>38</v>
      </c>
      <c r="M559" s="2">
        <v>0.3</v>
      </c>
      <c r="N559" t="s">
        <v>29</v>
      </c>
      <c r="O559" t="str">
        <f t="shared" si="17"/>
        <v>May</v>
      </c>
      <c r="P559" t="str">
        <f t="shared" si="16"/>
        <v>Adult</v>
      </c>
    </row>
    <row r="560" spans="1:16" x14ac:dyDescent="0.25">
      <c r="A560">
        <v>1559</v>
      </c>
      <c r="B560" s="1">
        <v>45004</v>
      </c>
      <c r="C560" t="s">
        <v>35</v>
      </c>
      <c r="D560" t="s">
        <v>74</v>
      </c>
      <c r="E560" s="3">
        <v>894</v>
      </c>
      <c r="F560" s="3">
        <v>3</v>
      </c>
      <c r="G560" s="3">
        <v>2682</v>
      </c>
      <c r="H560" s="3">
        <v>32</v>
      </c>
      <c r="I560" t="s">
        <v>18</v>
      </c>
      <c r="J560" t="s">
        <v>48</v>
      </c>
      <c r="K560" t="s">
        <v>42</v>
      </c>
      <c r="L560" t="s">
        <v>34</v>
      </c>
      <c r="M560" s="2">
        <v>0.05</v>
      </c>
      <c r="N560" t="s">
        <v>29</v>
      </c>
      <c r="O560" t="str">
        <f t="shared" si="17"/>
        <v>March</v>
      </c>
      <c r="P560" t="str">
        <f t="shared" si="16"/>
        <v>Adult</v>
      </c>
    </row>
    <row r="561" spans="1:16" x14ac:dyDescent="0.25">
      <c r="A561">
        <v>1560</v>
      </c>
      <c r="B561" s="1">
        <v>45024</v>
      </c>
      <c r="C561" t="s">
        <v>39</v>
      </c>
      <c r="D561" t="s">
        <v>61</v>
      </c>
      <c r="E561" s="3">
        <v>505</v>
      </c>
      <c r="F561" s="3">
        <v>3</v>
      </c>
      <c r="G561" s="3">
        <v>1515</v>
      </c>
      <c r="H561" s="3">
        <v>25</v>
      </c>
      <c r="I561" t="s">
        <v>32</v>
      </c>
      <c r="J561" t="s">
        <v>43</v>
      </c>
      <c r="K561" t="s">
        <v>33</v>
      </c>
      <c r="L561" t="s">
        <v>47</v>
      </c>
      <c r="M561" s="2">
        <v>0.05</v>
      </c>
      <c r="N561" t="s">
        <v>22</v>
      </c>
      <c r="O561" t="str">
        <f t="shared" si="17"/>
        <v>April</v>
      </c>
      <c r="P561" t="str">
        <f t="shared" si="16"/>
        <v>Young Adult</v>
      </c>
    </row>
    <row r="562" spans="1:16" x14ac:dyDescent="0.25">
      <c r="A562">
        <v>1561</v>
      </c>
      <c r="B562" s="1">
        <v>45096</v>
      </c>
      <c r="C562" t="s">
        <v>16</v>
      </c>
      <c r="D562" t="s">
        <v>71</v>
      </c>
      <c r="E562" s="3">
        <v>1083</v>
      </c>
      <c r="F562" s="3">
        <v>3</v>
      </c>
      <c r="G562" s="3">
        <v>3249</v>
      </c>
      <c r="H562" s="3">
        <v>41</v>
      </c>
      <c r="I562" t="s">
        <v>18</v>
      </c>
      <c r="J562" t="s">
        <v>60</v>
      </c>
      <c r="K562" t="s">
        <v>45</v>
      </c>
      <c r="L562" t="s">
        <v>47</v>
      </c>
      <c r="M562" s="2">
        <v>0.2</v>
      </c>
      <c r="N562" t="s">
        <v>29</v>
      </c>
      <c r="O562" t="str">
        <f t="shared" si="17"/>
        <v>June</v>
      </c>
      <c r="P562" t="str">
        <f t="shared" si="16"/>
        <v>Adult</v>
      </c>
    </row>
    <row r="563" spans="1:16" x14ac:dyDescent="0.25">
      <c r="A563">
        <v>1562</v>
      </c>
      <c r="B563" s="1">
        <v>45028</v>
      </c>
      <c r="C563" t="s">
        <v>16</v>
      </c>
      <c r="D563" t="s">
        <v>62</v>
      </c>
      <c r="E563" s="3">
        <v>95</v>
      </c>
      <c r="F563" s="3">
        <v>5</v>
      </c>
      <c r="G563" s="3">
        <v>475</v>
      </c>
      <c r="H563" s="3">
        <v>31</v>
      </c>
      <c r="I563" t="s">
        <v>32</v>
      </c>
      <c r="J563" t="s">
        <v>60</v>
      </c>
      <c r="K563" t="s">
        <v>33</v>
      </c>
      <c r="L563" t="s">
        <v>47</v>
      </c>
      <c r="M563" s="2">
        <v>0.3</v>
      </c>
      <c r="N563" t="s">
        <v>29</v>
      </c>
      <c r="O563" t="str">
        <f t="shared" si="17"/>
        <v>April</v>
      </c>
      <c r="P563" t="str">
        <f t="shared" si="16"/>
        <v>Adult</v>
      </c>
    </row>
    <row r="564" spans="1:16" x14ac:dyDescent="0.25">
      <c r="A564">
        <v>1563</v>
      </c>
      <c r="B564" s="1">
        <v>44963</v>
      </c>
      <c r="C564" t="s">
        <v>16</v>
      </c>
      <c r="D564" t="s">
        <v>71</v>
      </c>
      <c r="E564" s="3">
        <v>336</v>
      </c>
      <c r="F564" s="3">
        <v>4</v>
      </c>
      <c r="G564" s="3">
        <v>1344</v>
      </c>
      <c r="H564" s="3">
        <v>39</v>
      </c>
      <c r="I564" t="s">
        <v>18</v>
      </c>
      <c r="J564" t="s">
        <v>51</v>
      </c>
      <c r="K564" t="s">
        <v>37</v>
      </c>
      <c r="L564" t="s">
        <v>47</v>
      </c>
      <c r="M564" s="2">
        <v>0.3</v>
      </c>
      <c r="N564" t="s">
        <v>22</v>
      </c>
      <c r="O564" t="str">
        <f t="shared" si="17"/>
        <v>February</v>
      </c>
      <c r="P564" t="str">
        <f t="shared" si="16"/>
        <v>Adult</v>
      </c>
    </row>
    <row r="565" spans="1:16" x14ac:dyDescent="0.25">
      <c r="A565">
        <v>1564</v>
      </c>
      <c r="B565" s="1">
        <v>45200</v>
      </c>
      <c r="C565" t="s">
        <v>35</v>
      </c>
      <c r="D565" t="s">
        <v>74</v>
      </c>
      <c r="E565" s="3">
        <v>926</v>
      </c>
      <c r="F565" s="3">
        <v>1</v>
      </c>
      <c r="G565" s="3">
        <v>926</v>
      </c>
      <c r="H565" s="3">
        <v>49</v>
      </c>
      <c r="I565" t="s">
        <v>32</v>
      </c>
      <c r="J565" t="s">
        <v>55</v>
      </c>
      <c r="K565" t="s">
        <v>37</v>
      </c>
      <c r="L565" t="s">
        <v>47</v>
      </c>
      <c r="M565" s="2">
        <v>0.15</v>
      </c>
      <c r="N565" t="s">
        <v>29</v>
      </c>
      <c r="O565" t="str">
        <f t="shared" si="17"/>
        <v>October</v>
      </c>
      <c r="P565" t="str">
        <f t="shared" si="16"/>
        <v>Adult</v>
      </c>
    </row>
    <row r="566" spans="1:16" x14ac:dyDescent="0.25">
      <c r="A566">
        <v>1565</v>
      </c>
      <c r="B566" s="1">
        <v>44973</v>
      </c>
      <c r="C566" t="s">
        <v>16</v>
      </c>
      <c r="D566" t="s">
        <v>59</v>
      </c>
      <c r="E566" s="3">
        <v>144</v>
      </c>
      <c r="F566" s="3">
        <v>2</v>
      </c>
      <c r="G566" s="3">
        <v>288</v>
      </c>
      <c r="H566" s="3">
        <v>28</v>
      </c>
      <c r="I566" t="s">
        <v>32</v>
      </c>
      <c r="J566" t="s">
        <v>58</v>
      </c>
      <c r="K566" t="s">
        <v>27</v>
      </c>
      <c r="L566" t="s">
        <v>21</v>
      </c>
      <c r="M566" s="2">
        <v>0.05</v>
      </c>
      <c r="N566" t="s">
        <v>29</v>
      </c>
      <c r="O566" t="str">
        <f t="shared" si="17"/>
        <v>February</v>
      </c>
      <c r="P566" t="str">
        <f t="shared" si="16"/>
        <v>Young Adult</v>
      </c>
    </row>
    <row r="567" spans="1:16" x14ac:dyDescent="0.25">
      <c r="A567">
        <v>1566</v>
      </c>
      <c r="B567" s="1">
        <v>45193</v>
      </c>
      <c r="C567" t="s">
        <v>49</v>
      </c>
      <c r="D567" t="s">
        <v>50</v>
      </c>
      <c r="E567" s="3">
        <v>255</v>
      </c>
      <c r="F567" s="3">
        <v>2</v>
      </c>
      <c r="G567" s="3">
        <v>510</v>
      </c>
      <c r="H567" s="3">
        <v>54</v>
      </c>
      <c r="I567" t="s">
        <v>32</v>
      </c>
      <c r="J567" t="s">
        <v>60</v>
      </c>
      <c r="K567" t="s">
        <v>45</v>
      </c>
      <c r="L567" t="s">
        <v>38</v>
      </c>
      <c r="M567" s="2">
        <v>0.25</v>
      </c>
      <c r="N567" t="s">
        <v>29</v>
      </c>
      <c r="O567" t="str">
        <f t="shared" si="17"/>
        <v>September</v>
      </c>
      <c r="P567" t="str">
        <f t="shared" si="16"/>
        <v>Middle-Aged</v>
      </c>
    </row>
    <row r="568" spans="1:16" x14ac:dyDescent="0.25">
      <c r="A568">
        <v>1567</v>
      </c>
      <c r="B568" s="1">
        <v>44969</v>
      </c>
      <c r="C568" t="s">
        <v>52</v>
      </c>
      <c r="D568" t="s">
        <v>67</v>
      </c>
      <c r="E568" s="3">
        <v>302</v>
      </c>
      <c r="F568" s="3">
        <v>2</v>
      </c>
      <c r="G568" s="3">
        <v>604</v>
      </c>
      <c r="H568" s="3">
        <v>29</v>
      </c>
      <c r="I568" t="s">
        <v>18</v>
      </c>
      <c r="J568" t="s">
        <v>43</v>
      </c>
      <c r="K568" t="s">
        <v>20</v>
      </c>
      <c r="L568" t="s">
        <v>47</v>
      </c>
      <c r="M568" s="2">
        <v>0.05</v>
      </c>
      <c r="N568" t="s">
        <v>22</v>
      </c>
      <c r="O568" t="str">
        <f t="shared" si="17"/>
        <v>February</v>
      </c>
      <c r="P568" t="str">
        <f t="shared" si="16"/>
        <v>Young Adult</v>
      </c>
    </row>
    <row r="569" spans="1:16" x14ac:dyDescent="0.25">
      <c r="A569">
        <v>1568</v>
      </c>
      <c r="B569" s="1">
        <v>45046</v>
      </c>
      <c r="C569" t="s">
        <v>49</v>
      </c>
      <c r="D569" t="s">
        <v>50</v>
      </c>
      <c r="E569" s="3">
        <v>1143</v>
      </c>
      <c r="F569" s="3">
        <v>3</v>
      </c>
      <c r="G569" s="3">
        <v>3429</v>
      </c>
      <c r="H569" s="3">
        <v>41</v>
      </c>
      <c r="I569" t="s">
        <v>32</v>
      </c>
      <c r="J569" t="s">
        <v>48</v>
      </c>
      <c r="K569" t="s">
        <v>45</v>
      </c>
      <c r="L569" t="s">
        <v>34</v>
      </c>
      <c r="M569" s="2">
        <v>0.05</v>
      </c>
      <c r="N569" t="s">
        <v>22</v>
      </c>
      <c r="O569" t="str">
        <f t="shared" si="17"/>
        <v>April</v>
      </c>
      <c r="P569" t="str">
        <f t="shared" si="16"/>
        <v>Adult</v>
      </c>
    </row>
    <row r="570" spans="1:16" x14ac:dyDescent="0.25">
      <c r="A570">
        <v>1569</v>
      </c>
      <c r="B570" s="1">
        <v>45005</v>
      </c>
      <c r="C570" t="s">
        <v>39</v>
      </c>
      <c r="D570" t="s">
        <v>61</v>
      </c>
      <c r="E570" s="3">
        <v>480</v>
      </c>
      <c r="F570" s="3">
        <v>1</v>
      </c>
      <c r="G570" s="3">
        <v>480</v>
      </c>
      <c r="H570" s="3">
        <v>35</v>
      </c>
      <c r="I570" t="s">
        <v>18</v>
      </c>
      <c r="J570" t="s">
        <v>51</v>
      </c>
      <c r="K570" t="s">
        <v>37</v>
      </c>
      <c r="L570" t="s">
        <v>34</v>
      </c>
      <c r="M570" s="2">
        <v>0.05</v>
      </c>
      <c r="N570" t="s">
        <v>29</v>
      </c>
      <c r="O570" t="str">
        <f t="shared" si="17"/>
        <v>March</v>
      </c>
      <c r="P570" t="str">
        <f t="shared" si="16"/>
        <v>Adult</v>
      </c>
    </row>
    <row r="571" spans="1:16" x14ac:dyDescent="0.25">
      <c r="A571">
        <v>1570</v>
      </c>
      <c r="B571" s="1">
        <v>44931</v>
      </c>
      <c r="C571" t="s">
        <v>16</v>
      </c>
      <c r="D571" t="s">
        <v>83</v>
      </c>
      <c r="E571" s="3">
        <v>999</v>
      </c>
      <c r="F571" s="3">
        <v>2</v>
      </c>
      <c r="G571" s="3">
        <v>1998</v>
      </c>
      <c r="H571" s="3">
        <v>24</v>
      </c>
      <c r="I571" t="s">
        <v>18</v>
      </c>
      <c r="J571" t="s">
        <v>41</v>
      </c>
      <c r="K571" t="s">
        <v>42</v>
      </c>
      <c r="L571" t="s">
        <v>47</v>
      </c>
      <c r="M571" s="2">
        <v>0.3</v>
      </c>
      <c r="N571" t="s">
        <v>29</v>
      </c>
      <c r="O571" t="str">
        <f t="shared" si="17"/>
        <v>January</v>
      </c>
      <c r="P571" t="str">
        <f t="shared" si="16"/>
        <v>Young Adult</v>
      </c>
    </row>
    <row r="572" spans="1:16" x14ac:dyDescent="0.25">
      <c r="A572">
        <v>1571</v>
      </c>
      <c r="B572" s="1">
        <v>45313</v>
      </c>
      <c r="C572" t="s">
        <v>24</v>
      </c>
      <c r="D572" t="s">
        <v>54</v>
      </c>
      <c r="E572" s="3">
        <v>317</v>
      </c>
      <c r="F572" s="3">
        <v>3</v>
      </c>
      <c r="G572" s="3">
        <v>951</v>
      </c>
      <c r="H572" s="3">
        <v>49</v>
      </c>
      <c r="I572" t="s">
        <v>18</v>
      </c>
      <c r="J572" t="s">
        <v>60</v>
      </c>
      <c r="K572" t="s">
        <v>27</v>
      </c>
      <c r="L572" t="s">
        <v>38</v>
      </c>
      <c r="M572" s="2">
        <v>0.25</v>
      </c>
      <c r="N572" t="s">
        <v>22</v>
      </c>
      <c r="O572" t="str">
        <f t="shared" si="17"/>
        <v>January</v>
      </c>
      <c r="P572" t="str">
        <f t="shared" si="16"/>
        <v>Adult</v>
      </c>
    </row>
    <row r="573" spans="1:16" x14ac:dyDescent="0.25">
      <c r="A573">
        <v>1572</v>
      </c>
      <c r="B573" s="1">
        <v>45205</v>
      </c>
      <c r="C573" t="s">
        <v>16</v>
      </c>
      <c r="D573" t="s">
        <v>83</v>
      </c>
      <c r="E573" s="3">
        <v>99</v>
      </c>
      <c r="F573" s="3">
        <v>3</v>
      </c>
      <c r="G573" s="3">
        <v>297</v>
      </c>
      <c r="H573" s="3">
        <v>50</v>
      </c>
      <c r="I573" t="s">
        <v>18</v>
      </c>
      <c r="J573" t="s">
        <v>58</v>
      </c>
      <c r="K573" t="s">
        <v>27</v>
      </c>
      <c r="L573" t="s">
        <v>28</v>
      </c>
      <c r="M573" s="2">
        <v>0.2</v>
      </c>
      <c r="N573" t="s">
        <v>22</v>
      </c>
      <c r="O573" t="str">
        <f t="shared" si="17"/>
        <v>October</v>
      </c>
      <c r="P573" t="str">
        <f t="shared" si="16"/>
        <v>Middle-Aged</v>
      </c>
    </row>
    <row r="574" spans="1:16" x14ac:dyDescent="0.25">
      <c r="A574">
        <v>1573</v>
      </c>
      <c r="B574" s="1">
        <v>44974</v>
      </c>
      <c r="C574" t="s">
        <v>49</v>
      </c>
      <c r="D574" t="s">
        <v>66</v>
      </c>
      <c r="E574" s="3">
        <v>561</v>
      </c>
      <c r="F574" s="3">
        <v>4</v>
      </c>
      <c r="G574" s="3">
        <v>2244</v>
      </c>
      <c r="H574" s="3">
        <v>60</v>
      </c>
      <c r="I574" t="s">
        <v>32</v>
      </c>
      <c r="J574" t="s">
        <v>26</v>
      </c>
      <c r="K574" t="s">
        <v>33</v>
      </c>
      <c r="L574" t="s">
        <v>34</v>
      </c>
      <c r="M574" s="2">
        <v>0.1</v>
      </c>
      <c r="N574" t="s">
        <v>29</v>
      </c>
      <c r="O574" t="str">
        <f t="shared" si="17"/>
        <v>February</v>
      </c>
      <c r="P574" t="str">
        <f t="shared" si="16"/>
        <v>Middle-Aged</v>
      </c>
    </row>
    <row r="575" spans="1:16" x14ac:dyDescent="0.25">
      <c r="A575">
        <v>1574</v>
      </c>
      <c r="B575" s="1">
        <v>45323</v>
      </c>
      <c r="C575" t="s">
        <v>52</v>
      </c>
      <c r="D575" t="s">
        <v>82</v>
      </c>
      <c r="E575" s="3">
        <v>1213</v>
      </c>
      <c r="F575" s="3">
        <v>3</v>
      </c>
      <c r="G575" s="3">
        <v>3639</v>
      </c>
      <c r="H575" s="3">
        <v>33</v>
      </c>
      <c r="I575" t="s">
        <v>32</v>
      </c>
      <c r="J575" t="s">
        <v>26</v>
      </c>
      <c r="K575" t="s">
        <v>33</v>
      </c>
      <c r="L575" t="s">
        <v>34</v>
      </c>
      <c r="M575" s="2">
        <v>0.2</v>
      </c>
      <c r="N575" t="s">
        <v>22</v>
      </c>
      <c r="O575" t="str">
        <f t="shared" si="17"/>
        <v>February</v>
      </c>
      <c r="P575" t="str">
        <f t="shared" si="16"/>
        <v>Adult</v>
      </c>
    </row>
    <row r="576" spans="1:16" x14ac:dyDescent="0.25">
      <c r="A576">
        <v>1575</v>
      </c>
      <c r="B576" s="1">
        <v>45231</v>
      </c>
      <c r="C576" t="s">
        <v>52</v>
      </c>
      <c r="D576" t="s">
        <v>67</v>
      </c>
      <c r="E576" s="3">
        <v>809</v>
      </c>
      <c r="F576" s="3">
        <v>5</v>
      </c>
      <c r="G576" s="3">
        <v>4045</v>
      </c>
      <c r="H576" s="3">
        <v>40</v>
      </c>
      <c r="I576" t="s">
        <v>32</v>
      </c>
      <c r="J576" t="s">
        <v>41</v>
      </c>
      <c r="K576" t="s">
        <v>42</v>
      </c>
      <c r="L576" t="s">
        <v>21</v>
      </c>
      <c r="M576" s="2">
        <v>0.3</v>
      </c>
      <c r="N576" t="s">
        <v>22</v>
      </c>
      <c r="O576" t="str">
        <f t="shared" si="17"/>
        <v>November</v>
      </c>
      <c r="P576" t="str">
        <f t="shared" si="16"/>
        <v>Adult</v>
      </c>
    </row>
    <row r="577" spans="1:16" x14ac:dyDescent="0.25">
      <c r="A577">
        <v>1576</v>
      </c>
      <c r="B577" s="1">
        <v>45004</v>
      </c>
      <c r="C577" t="s">
        <v>30</v>
      </c>
      <c r="D577" t="s">
        <v>77</v>
      </c>
      <c r="E577" s="3">
        <v>1243</v>
      </c>
      <c r="F577" s="3">
        <v>1</v>
      </c>
      <c r="G577" s="3">
        <v>1243</v>
      </c>
      <c r="H577" s="3">
        <v>53</v>
      </c>
      <c r="I577" t="s">
        <v>18</v>
      </c>
      <c r="J577" t="s">
        <v>48</v>
      </c>
      <c r="K577" t="s">
        <v>33</v>
      </c>
      <c r="L577" t="s">
        <v>34</v>
      </c>
      <c r="M577" s="2">
        <v>0.3</v>
      </c>
      <c r="N577" t="s">
        <v>22</v>
      </c>
      <c r="O577" t="str">
        <f t="shared" si="17"/>
        <v>March</v>
      </c>
      <c r="P577" t="str">
        <f t="shared" si="16"/>
        <v>Middle-Aged</v>
      </c>
    </row>
    <row r="578" spans="1:16" x14ac:dyDescent="0.25">
      <c r="A578">
        <v>1577</v>
      </c>
      <c r="B578" s="1">
        <v>45046</v>
      </c>
      <c r="C578" t="s">
        <v>24</v>
      </c>
      <c r="D578" t="s">
        <v>54</v>
      </c>
      <c r="E578" s="3">
        <v>910</v>
      </c>
      <c r="F578" s="3">
        <v>3</v>
      </c>
      <c r="G578" s="3">
        <v>2730</v>
      </c>
      <c r="H578" s="3">
        <v>37</v>
      </c>
      <c r="I578" t="s">
        <v>32</v>
      </c>
      <c r="J578" t="s">
        <v>41</v>
      </c>
      <c r="K578" t="s">
        <v>20</v>
      </c>
      <c r="L578" t="s">
        <v>38</v>
      </c>
      <c r="M578" s="2">
        <v>0.1</v>
      </c>
      <c r="N578" t="s">
        <v>29</v>
      </c>
      <c r="O578" t="str">
        <f t="shared" si="17"/>
        <v>April</v>
      </c>
      <c r="P578" t="str">
        <f t="shared" ref="P578:P641" si="18">IF(H578&lt;13, "Child", IF(H578&lt;18, "Teen", IF(H578&lt;30, "Young Adult", IF(H578&lt;50, "Adult", IF(H578&lt;65, "Middle-Aged", "Senior")))))</f>
        <v>Adult</v>
      </c>
    </row>
    <row r="579" spans="1:16" x14ac:dyDescent="0.25">
      <c r="A579">
        <v>1578</v>
      </c>
      <c r="B579" s="1">
        <v>44988</v>
      </c>
      <c r="C579" t="s">
        <v>30</v>
      </c>
      <c r="D579" t="s">
        <v>69</v>
      </c>
      <c r="E579" s="3">
        <v>1104</v>
      </c>
      <c r="F579" s="3">
        <v>2</v>
      </c>
      <c r="G579" s="3">
        <v>2208</v>
      </c>
      <c r="H579" s="3">
        <v>28</v>
      </c>
      <c r="I579" t="s">
        <v>18</v>
      </c>
      <c r="J579" t="s">
        <v>43</v>
      </c>
      <c r="K579" t="s">
        <v>37</v>
      </c>
      <c r="L579" t="s">
        <v>28</v>
      </c>
      <c r="M579" s="2">
        <v>0.2</v>
      </c>
      <c r="N579" t="s">
        <v>22</v>
      </c>
      <c r="O579" t="str">
        <f t="shared" ref="O579:O642" si="19">TEXT(B579, "MMMM")</f>
        <v>March</v>
      </c>
      <c r="P579" t="str">
        <f t="shared" si="18"/>
        <v>Young Adult</v>
      </c>
    </row>
    <row r="580" spans="1:16" x14ac:dyDescent="0.25">
      <c r="A580">
        <v>1579</v>
      </c>
      <c r="B580" s="1">
        <v>45008</v>
      </c>
      <c r="C580" t="s">
        <v>30</v>
      </c>
      <c r="D580" t="s">
        <v>79</v>
      </c>
      <c r="E580" s="3">
        <v>528</v>
      </c>
      <c r="F580" s="3">
        <v>4</v>
      </c>
      <c r="G580" s="3">
        <v>2112</v>
      </c>
      <c r="H580" s="3">
        <v>42</v>
      </c>
      <c r="I580" t="s">
        <v>18</v>
      </c>
      <c r="J580" t="s">
        <v>51</v>
      </c>
      <c r="K580" t="s">
        <v>42</v>
      </c>
      <c r="L580" t="s">
        <v>47</v>
      </c>
      <c r="M580" s="2">
        <v>0.2</v>
      </c>
      <c r="N580" t="s">
        <v>29</v>
      </c>
      <c r="O580" t="str">
        <f t="shared" si="19"/>
        <v>March</v>
      </c>
      <c r="P580" t="str">
        <f t="shared" si="18"/>
        <v>Adult</v>
      </c>
    </row>
    <row r="581" spans="1:16" x14ac:dyDescent="0.25">
      <c r="A581">
        <v>1580</v>
      </c>
      <c r="B581" s="1">
        <v>45089</v>
      </c>
      <c r="C581" t="s">
        <v>52</v>
      </c>
      <c r="D581" t="s">
        <v>53</v>
      </c>
      <c r="E581" s="3">
        <v>1138</v>
      </c>
      <c r="F581" s="3">
        <v>2</v>
      </c>
      <c r="G581" s="3">
        <v>2276</v>
      </c>
      <c r="H581" s="3">
        <v>49</v>
      </c>
      <c r="I581" t="s">
        <v>18</v>
      </c>
      <c r="J581" t="s">
        <v>43</v>
      </c>
      <c r="K581" t="s">
        <v>37</v>
      </c>
      <c r="L581" t="s">
        <v>47</v>
      </c>
      <c r="M581" s="2">
        <v>0.1</v>
      </c>
      <c r="N581" t="s">
        <v>22</v>
      </c>
      <c r="O581" t="str">
        <f t="shared" si="19"/>
        <v>June</v>
      </c>
      <c r="P581" t="str">
        <f t="shared" si="18"/>
        <v>Adult</v>
      </c>
    </row>
    <row r="582" spans="1:16" x14ac:dyDescent="0.25">
      <c r="A582">
        <v>1581</v>
      </c>
      <c r="B582" s="1">
        <v>45133</v>
      </c>
      <c r="C582" t="s">
        <v>16</v>
      </c>
      <c r="D582" t="s">
        <v>59</v>
      </c>
      <c r="E582" s="3">
        <v>166</v>
      </c>
      <c r="F582" s="3">
        <v>5</v>
      </c>
      <c r="G582" s="3">
        <v>830</v>
      </c>
      <c r="H582" s="3">
        <v>54</v>
      </c>
      <c r="I582" t="s">
        <v>18</v>
      </c>
      <c r="J582" t="s">
        <v>48</v>
      </c>
      <c r="K582" t="s">
        <v>33</v>
      </c>
      <c r="L582" t="s">
        <v>38</v>
      </c>
      <c r="M582" s="2">
        <v>0.2</v>
      </c>
      <c r="N582" t="s">
        <v>22</v>
      </c>
      <c r="O582" t="str">
        <f t="shared" si="19"/>
        <v>July</v>
      </c>
      <c r="P582" t="str">
        <f t="shared" si="18"/>
        <v>Middle-Aged</v>
      </c>
    </row>
    <row r="583" spans="1:16" x14ac:dyDescent="0.25">
      <c r="A583">
        <v>1582</v>
      </c>
      <c r="B583" s="1">
        <v>45212</v>
      </c>
      <c r="C583" t="s">
        <v>39</v>
      </c>
      <c r="D583" t="s">
        <v>78</v>
      </c>
      <c r="E583" s="3">
        <v>1077</v>
      </c>
      <c r="F583" s="3">
        <v>1</v>
      </c>
      <c r="G583" s="3">
        <v>1077</v>
      </c>
      <c r="H583" s="3">
        <v>19</v>
      </c>
      <c r="I583" t="s">
        <v>18</v>
      </c>
      <c r="J583" t="s">
        <v>63</v>
      </c>
      <c r="K583" t="s">
        <v>42</v>
      </c>
      <c r="L583" t="s">
        <v>47</v>
      </c>
      <c r="M583" s="2">
        <v>0.15</v>
      </c>
      <c r="N583" t="s">
        <v>22</v>
      </c>
      <c r="O583" t="str">
        <f t="shared" si="19"/>
        <v>October</v>
      </c>
      <c r="P583" t="str">
        <f t="shared" si="18"/>
        <v>Young Adult</v>
      </c>
    </row>
    <row r="584" spans="1:16" x14ac:dyDescent="0.25">
      <c r="A584">
        <v>1583</v>
      </c>
      <c r="B584" s="1">
        <v>45184</v>
      </c>
      <c r="C584" t="s">
        <v>35</v>
      </c>
      <c r="D584" t="s">
        <v>72</v>
      </c>
      <c r="E584" s="3">
        <v>1302</v>
      </c>
      <c r="F584" s="3">
        <v>4</v>
      </c>
      <c r="G584" s="3">
        <v>5208</v>
      </c>
      <c r="H584" s="3">
        <v>59</v>
      </c>
      <c r="I584" t="s">
        <v>18</v>
      </c>
      <c r="J584" t="s">
        <v>60</v>
      </c>
      <c r="K584" t="s">
        <v>37</v>
      </c>
      <c r="L584" t="s">
        <v>28</v>
      </c>
      <c r="M584" s="2">
        <v>0.3</v>
      </c>
      <c r="N584" t="s">
        <v>29</v>
      </c>
      <c r="O584" t="str">
        <f t="shared" si="19"/>
        <v>September</v>
      </c>
      <c r="P584" t="str">
        <f t="shared" si="18"/>
        <v>Middle-Aged</v>
      </c>
    </row>
    <row r="585" spans="1:16" x14ac:dyDescent="0.25">
      <c r="A585">
        <v>1584</v>
      </c>
      <c r="B585" s="1">
        <v>44986</v>
      </c>
      <c r="C585" t="s">
        <v>49</v>
      </c>
      <c r="D585" t="s">
        <v>50</v>
      </c>
      <c r="E585" s="3">
        <v>593</v>
      </c>
      <c r="F585" s="3">
        <v>5</v>
      </c>
      <c r="G585" s="3">
        <v>2965</v>
      </c>
      <c r="H585" s="3">
        <v>52</v>
      </c>
      <c r="I585" t="s">
        <v>18</v>
      </c>
      <c r="J585" t="s">
        <v>58</v>
      </c>
      <c r="K585" t="s">
        <v>27</v>
      </c>
      <c r="L585" t="s">
        <v>34</v>
      </c>
      <c r="M585" s="2">
        <v>0.1</v>
      </c>
      <c r="N585" t="s">
        <v>29</v>
      </c>
      <c r="O585" t="str">
        <f t="shared" si="19"/>
        <v>March</v>
      </c>
      <c r="P585" t="str">
        <f t="shared" si="18"/>
        <v>Middle-Aged</v>
      </c>
    </row>
    <row r="586" spans="1:16" x14ac:dyDescent="0.25">
      <c r="A586">
        <v>1585</v>
      </c>
      <c r="B586" s="1">
        <v>45015</v>
      </c>
      <c r="C586" t="s">
        <v>16</v>
      </c>
      <c r="D586" t="s">
        <v>56</v>
      </c>
      <c r="E586" s="3">
        <v>943</v>
      </c>
      <c r="F586" s="3">
        <v>5</v>
      </c>
      <c r="G586" s="3">
        <v>4715</v>
      </c>
      <c r="H586" s="3">
        <v>43</v>
      </c>
      <c r="I586" t="s">
        <v>32</v>
      </c>
      <c r="J586" t="s">
        <v>19</v>
      </c>
      <c r="K586" t="s">
        <v>20</v>
      </c>
      <c r="L586" t="s">
        <v>47</v>
      </c>
      <c r="M586" s="2">
        <v>0.15</v>
      </c>
      <c r="N586" t="s">
        <v>29</v>
      </c>
      <c r="O586" t="str">
        <f t="shared" si="19"/>
        <v>March</v>
      </c>
      <c r="P586" t="str">
        <f t="shared" si="18"/>
        <v>Adult</v>
      </c>
    </row>
    <row r="587" spans="1:16" x14ac:dyDescent="0.25">
      <c r="A587">
        <v>1586</v>
      </c>
      <c r="B587" s="1">
        <v>45228</v>
      </c>
      <c r="C587" t="s">
        <v>52</v>
      </c>
      <c r="D587" t="s">
        <v>67</v>
      </c>
      <c r="E587" s="3">
        <v>587</v>
      </c>
      <c r="F587" s="3">
        <v>4</v>
      </c>
      <c r="G587" s="3">
        <v>2348</v>
      </c>
      <c r="H587" s="3">
        <v>56</v>
      </c>
      <c r="I587" t="s">
        <v>32</v>
      </c>
      <c r="J587" t="s">
        <v>19</v>
      </c>
      <c r="K587" t="s">
        <v>42</v>
      </c>
      <c r="L587" t="s">
        <v>38</v>
      </c>
      <c r="M587" s="2">
        <v>0.25</v>
      </c>
      <c r="N587" t="s">
        <v>22</v>
      </c>
      <c r="O587" t="str">
        <f t="shared" si="19"/>
        <v>October</v>
      </c>
      <c r="P587" t="str">
        <f t="shared" si="18"/>
        <v>Middle-Aged</v>
      </c>
    </row>
    <row r="588" spans="1:16" x14ac:dyDescent="0.25">
      <c r="A588">
        <v>1587</v>
      </c>
      <c r="B588" s="1">
        <v>44979</v>
      </c>
      <c r="C588" t="s">
        <v>35</v>
      </c>
      <c r="D588" t="s">
        <v>36</v>
      </c>
      <c r="E588" s="3">
        <v>199</v>
      </c>
      <c r="F588" s="3">
        <v>3</v>
      </c>
      <c r="G588" s="3">
        <v>597</v>
      </c>
      <c r="H588" s="3">
        <v>37</v>
      </c>
      <c r="I588" t="s">
        <v>32</v>
      </c>
      <c r="J588" t="s">
        <v>41</v>
      </c>
      <c r="K588" t="s">
        <v>45</v>
      </c>
      <c r="L588" t="s">
        <v>47</v>
      </c>
      <c r="M588" s="2">
        <v>0.25</v>
      </c>
      <c r="N588" t="s">
        <v>29</v>
      </c>
      <c r="O588" t="str">
        <f t="shared" si="19"/>
        <v>February</v>
      </c>
      <c r="P588" t="str">
        <f t="shared" si="18"/>
        <v>Adult</v>
      </c>
    </row>
    <row r="589" spans="1:16" x14ac:dyDescent="0.25">
      <c r="A589">
        <v>1588</v>
      </c>
      <c r="B589" s="1">
        <v>45069</v>
      </c>
      <c r="C589" t="s">
        <v>16</v>
      </c>
      <c r="D589" t="s">
        <v>56</v>
      </c>
      <c r="E589" s="3">
        <v>905</v>
      </c>
      <c r="F589" s="3">
        <v>5</v>
      </c>
      <c r="G589" s="3">
        <v>4525</v>
      </c>
      <c r="H589" s="3">
        <v>32</v>
      </c>
      <c r="I589" t="s">
        <v>18</v>
      </c>
      <c r="J589" t="s">
        <v>41</v>
      </c>
      <c r="K589" t="s">
        <v>42</v>
      </c>
      <c r="L589" t="s">
        <v>47</v>
      </c>
      <c r="M589" s="2">
        <v>0.2</v>
      </c>
      <c r="N589" t="s">
        <v>29</v>
      </c>
      <c r="O589" t="str">
        <f t="shared" si="19"/>
        <v>May</v>
      </c>
      <c r="P589" t="str">
        <f t="shared" si="18"/>
        <v>Adult</v>
      </c>
    </row>
    <row r="590" spans="1:16" x14ac:dyDescent="0.25">
      <c r="A590">
        <v>1589</v>
      </c>
      <c r="B590" s="1">
        <v>45166</v>
      </c>
      <c r="C590" t="s">
        <v>30</v>
      </c>
      <c r="D590" t="s">
        <v>69</v>
      </c>
      <c r="E590" s="3">
        <v>1138</v>
      </c>
      <c r="F590" s="3">
        <v>3</v>
      </c>
      <c r="G590" s="3">
        <v>3414</v>
      </c>
      <c r="H590" s="3">
        <v>50</v>
      </c>
      <c r="I590" t="s">
        <v>18</v>
      </c>
      <c r="J590" t="s">
        <v>60</v>
      </c>
      <c r="K590" t="s">
        <v>45</v>
      </c>
      <c r="L590" t="s">
        <v>34</v>
      </c>
      <c r="M590" s="2">
        <v>0.1</v>
      </c>
      <c r="N590" t="s">
        <v>29</v>
      </c>
      <c r="O590" t="str">
        <f t="shared" si="19"/>
        <v>August</v>
      </c>
      <c r="P590" t="str">
        <f t="shared" si="18"/>
        <v>Middle-Aged</v>
      </c>
    </row>
    <row r="591" spans="1:16" x14ac:dyDescent="0.25">
      <c r="A591">
        <v>1590</v>
      </c>
      <c r="B591" s="1">
        <v>45115</v>
      </c>
      <c r="C591" t="s">
        <v>49</v>
      </c>
      <c r="D591" t="s">
        <v>66</v>
      </c>
      <c r="E591" s="3">
        <v>391</v>
      </c>
      <c r="F591" s="3">
        <v>4</v>
      </c>
      <c r="G591" s="3">
        <v>1564</v>
      </c>
      <c r="H591" s="3">
        <v>50</v>
      </c>
      <c r="I591" t="s">
        <v>32</v>
      </c>
      <c r="J591" t="s">
        <v>41</v>
      </c>
      <c r="K591" t="s">
        <v>20</v>
      </c>
      <c r="L591" t="s">
        <v>28</v>
      </c>
      <c r="M591" s="2">
        <v>0.1</v>
      </c>
      <c r="N591" t="s">
        <v>22</v>
      </c>
      <c r="O591" t="str">
        <f t="shared" si="19"/>
        <v>July</v>
      </c>
      <c r="P591" t="str">
        <f t="shared" si="18"/>
        <v>Middle-Aged</v>
      </c>
    </row>
    <row r="592" spans="1:16" x14ac:dyDescent="0.25">
      <c r="A592">
        <v>1591</v>
      </c>
      <c r="B592" s="1">
        <v>45321</v>
      </c>
      <c r="C592" t="s">
        <v>16</v>
      </c>
      <c r="D592" t="s">
        <v>71</v>
      </c>
      <c r="E592" s="3">
        <v>1308</v>
      </c>
      <c r="F592" s="3">
        <v>1</v>
      </c>
      <c r="G592" s="3">
        <v>1308</v>
      </c>
      <c r="H592" s="3">
        <v>20</v>
      </c>
      <c r="I592" t="s">
        <v>18</v>
      </c>
      <c r="J592" t="s">
        <v>26</v>
      </c>
      <c r="K592" t="s">
        <v>20</v>
      </c>
      <c r="L592" t="s">
        <v>47</v>
      </c>
      <c r="M592" s="2">
        <v>0.2</v>
      </c>
      <c r="N592" t="s">
        <v>22</v>
      </c>
      <c r="O592" t="str">
        <f t="shared" si="19"/>
        <v>January</v>
      </c>
      <c r="P592" t="str">
        <f t="shared" si="18"/>
        <v>Young Adult</v>
      </c>
    </row>
    <row r="593" spans="1:16" x14ac:dyDescent="0.25">
      <c r="A593">
        <v>1592</v>
      </c>
      <c r="B593" s="1">
        <v>45213</v>
      </c>
      <c r="C593" t="s">
        <v>24</v>
      </c>
      <c r="D593" t="s">
        <v>25</v>
      </c>
      <c r="E593" s="3">
        <v>415</v>
      </c>
      <c r="F593" s="3">
        <v>1</v>
      </c>
      <c r="G593" s="3">
        <v>415</v>
      </c>
      <c r="H593" s="3">
        <v>57</v>
      </c>
      <c r="I593" t="s">
        <v>32</v>
      </c>
      <c r="J593" t="s">
        <v>19</v>
      </c>
      <c r="K593" t="s">
        <v>37</v>
      </c>
      <c r="L593" t="s">
        <v>38</v>
      </c>
      <c r="M593" s="2">
        <v>0.3</v>
      </c>
      <c r="N593" t="s">
        <v>22</v>
      </c>
      <c r="O593" t="str">
        <f t="shared" si="19"/>
        <v>October</v>
      </c>
      <c r="P593" t="str">
        <f t="shared" si="18"/>
        <v>Middle-Aged</v>
      </c>
    </row>
    <row r="594" spans="1:16" x14ac:dyDescent="0.25">
      <c r="A594">
        <v>1593</v>
      </c>
      <c r="B594" s="1">
        <v>45323</v>
      </c>
      <c r="C594" t="s">
        <v>30</v>
      </c>
      <c r="D594" t="s">
        <v>31</v>
      </c>
      <c r="E594" s="3">
        <v>946</v>
      </c>
      <c r="F594" s="3">
        <v>5</v>
      </c>
      <c r="G594" s="3">
        <v>4730</v>
      </c>
      <c r="H594" s="3">
        <v>33</v>
      </c>
      <c r="I594" t="s">
        <v>32</v>
      </c>
      <c r="J594" t="s">
        <v>58</v>
      </c>
      <c r="K594" t="s">
        <v>42</v>
      </c>
      <c r="L594" t="s">
        <v>21</v>
      </c>
      <c r="M594" s="2">
        <v>0.15</v>
      </c>
      <c r="N594" t="s">
        <v>22</v>
      </c>
      <c r="O594" t="str">
        <f t="shared" si="19"/>
        <v>February</v>
      </c>
      <c r="P594" t="str">
        <f t="shared" si="18"/>
        <v>Adult</v>
      </c>
    </row>
    <row r="595" spans="1:16" x14ac:dyDescent="0.25">
      <c r="A595">
        <v>1594</v>
      </c>
      <c r="B595" s="1">
        <v>44945</v>
      </c>
      <c r="C595" t="s">
        <v>39</v>
      </c>
      <c r="D595" t="s">
        <v>68</v>
      </c>
      <c r="E595" s="3">
        <v>164</v>
      </c>
      <c r="F595" s="3">
        <v>3</v>
      </c>
      <c r="G595" s="3">
        <v>492</v>
      </c>
      <c r="H595" s="3">
        <v>37</v>
      </c>
      <c r="I595" t="s">
        <v>18</v>
      </c>
      <c r="J595" t="s">
        <v>48</v>
      </c>
      <c r="K595" t="s">
        <v>42</v>
      </c>
      <c r="L595" t="s">
        <v>47</v>
      </c>
      <c r="M595" s="2">
        <v>0.25</v>
      </c>
      <c r="N595" t="s">
        <v>22</v>
      </c>
      <c r="O595" t="str">
        <f t="shared" si="19"/>
        <v>January</v>
      </c>
      <c r="P595" t="str">
        <f t="shared" si="18"/>
        <v>Adult</v>
      </c>
    </row>
    <row r="596" spans="1:16" x14ac:dyDescent="0.25">
      <c r="A596">
        <v>1595</v>
      </c>
      <c r="B596" s="1">
        <v>45260</v>
      </c>
      <c r="C596" t="s">
        <v>52</v>
      </c>
      <c r="D596" t="s">
        <v>73</v>
      </c>
      <c r="E596" s="3">
        <v>951</v>
      </c>
      <c r="F596" s="3">
        <v>5</v>
      </c>
      <c r="G596" s="3">
        <v>4755</v>
      </c>
      <c r="H596" s="3">
        <v>37</v>
      </c>
      <c r="I596" t="s">
        <v>32</v>
      </c>
      <c r="J596" t="s">
        <v>60</v>
      </c>
      <c r="K596" t="s">
        <v>37</v>
      </c>
      <c r="L596" t="s">
        <v>28</v>
      </c>
      <c r="M596" s="2">
        <v>0.15</v>
      </c>
      <c r="N596" t="s">
        <v>29</v>
      </c>
      <c r="O596" t="str">
        <f t="shared" si="19"/>
        <v>November</v>
      </c>
      <c r="P596" t="str">
        <f t="shared" si="18"/>
        <v>Adult</v>
      </c>
    </row>
    <row r="597" spans="1:16" x14ac:dyDescent="0.25">
      <c r="A597">
        <v>1596</v>
      </c>
      <c r="B597" s="1">
        <v>45015</v>
      </c>
      <c r="C597" t="s">
        <v>52</v>
      </c>
      <c r="D597" t="s">
        <v>53</v>
      </c>
      <c r="E597" s="3">
        <v>1134</v>
      </c>
      <c r="F597" s="3">
        <v>1</v>
      </c>
      <c r="G597" s="3">
        <v>1134</v>
      </c>
      <c r="H597" s="3">
        <v>39</v>
      </c>
      <c r="I597" t="s">
        <v>18</v>
      </c>
      <c r="J597" t="s">
        <v>43</v>
      </c>
      <c r="K597" t="s">
        <v>27</v>
      </c>
      <c r="L597" t="s">
        <v>28</v>
      </c>
      <c r="M597" s="2">
        <v>0.15</v>
      </c>
      <c r="N597" t="s">
        <v>29</v>
      </c>
      <c r="O597" t="str">
        <f t="shared" si="19"/>
        <v>March</v>
      </c>
      <c r="P597" t="str">
        <f t="shared" si="18"/>
        <v>Adult</v>
      </c>
    </row>
    <row r="598" spans="1:16" x14ac:dyDescent="0.25">
      <c r="A598">
        <v>1597</v>
      </c>
      <c r="B598" s="1">
        <v>45112</v>
      </c>
      <c r="C598" t="s">
        <v>24</v>
      </c>
      <c r="D598" t="s">
        <v>80</v>
      </c>
      <c r="E598" s="3">
        <v>82</v>
      </c>
      <c r="F598" s="3">
        <v>5</v>
      </c>
      <c r="G598" s="3">
        <v>410</v>
      </c>
      <c r="H598" s="3">
        <v>27</v>
      </c>
      <c r="I598" t="s">
        <v>18</v>
      </c>
      <c r="J598" t="s">
        <v>60</v>
      </c>
      <c r="K598" t="s">
        <v>27</v>
      </c>
      <c r="L598" t="s">
        <v>38</v>
      </c>
      <c r="M598" s="2">
        <v>0.25</v>
      </c>
      <c r="N598" t="s">
        <v>29</v>
      </c>
      <c r="O598" t="str">
        <f t="shared" si="19"/>
        <v>July</v>
      </c>
      <c r="P598" t="str">
        <f t="shared" si="18"/>
        <v>Young Adult</v>
      </c>
    </row>
    <row r="599" spans="1:16" x14ac:dyDescent="0.25">
      <c r="A599">
        <v>1598</v>
      </c>
      <c r="B599" s="1">
        <v>45326</v>
      </c>
      <c r="C599" t="s">
        <v>16</v>
      </c>
      <c r="D599" t="s">
        <v>62</v>
      </c>
      <c r="E599" s="3">
        <v>951</v>
      </c>
      <c r="F599" s="3">
        <v>3</v>
      </c>
      <c r="G599" s="3">
        <v>2853</v>
      </c>
      <c r="H599" s="3">
        <v>57</v>
      </c>
      <c r="I599" t="s">
        <v>18</v>
      </c>
      <c r="J599" t="s">
        <v>58</v>
      </c>
      <c r="K599" t="s">
        <v>27</v>
      </c>
      <c r="L599" t="s">
        <v>47</v>
      </c>
      <c r="M599" s="2">
        <v>0.05</v>
      </c>
      <c r="N599" t="s">
        <v>22</v>
      </c>
      <c r="O599" t="str">
        <f t="shared" si="19"/>
        <v>February</v>
      </c>
      <c r="P599" t="str">
        <f t="shared" si="18"/>
        <v>Middle-Aged</v>
      </c>
    </row>
    <row r="600" spans="1:16" x14ac:dyDescent="0.25">
      <c r="A600">
        <v>1599</v>
      </c>
      <c r="B600" s="1">
        <v>45263</v>
      </c>
      <c r="C600" t="s">
        <v>52</v>
      </c>
      <c r="D600" t="s">
        <v>82</v>
      </c>
      <c r="E600" s="3">
        <v>1086</v>
      </c>
      <c r="F600" s="3">
        <v>3</v>
      </c>
      <c r="G600" s="3">
        <v>3258</v>
      </c>
      <c r="H600" s="3">
        <v>23</v>
      </c>
      <c r="I600" t="s">
        <v>18</v>
      </c>
      <c r="J600" t="s">
        <v>19</v>
      </c>
      <c r="K600" t="s">
        <v>27</v>
      </c>
      <c r="L600" t="s">
        <v>21</v>
      </c>
      <c r="M600" s="2">
        <v>0.15</v>
      </c>
      <c r="N600" t="s">
        <v>22</v>
      </c>
      <c r="O600" t="str">
        <f t="shared" si="19"/>
        <v>December</v>
      </c>
      <c r="P600" t="str">
        <f t="shared" si="18"/>
        <v>Young Adult</v>
      </c>
    </row>
    <row r="601" spans="1:16" x14ac:dyDescent="0.25">
      <c r="A601">
        <v>1600</v>
      </c>
      <c r="B601" s="1">
        <v>45232</v>
      </c>
      <c r="C601" t="s">
        <v>49</v>
      </c>
      <c r="D601" t="s">
        <v>81</v>
      </c>
      <c r="E601" s="3">
        <v>827</v>
      </c>
      <c r="F601" s="3">
        <v>1</v>
      </c>
      <c r="G601" s="3">
        <v>827</v>
      </c>
      <c r="H601" s="3">
        <v>18</v>
      </c>
      <c r="I601" t="s">
        <v>18</v>
      </c>
      <c r="J601" t="s">
        <v>19</v>
      </c>
      <c r="K601" t="s">
        <v>45</v>
      </c>
      <c r="L601" t="s">
        <v>28</v>
      </c>
      <c r="M601" s="2">
        <v>0.3</v>
      </c>
      <c r="N601" t="s">
        <v>29</v>
      </c>
      <c r="O601" t="str">
        <f t="shared" si="19"/>
        <v>November</v>
      </c>
      <c r="P601" t="str">
        <f t="shared" si="18"/>
        <v>Young Adult</v>
      </c>
    </row>
    <row r="602" spans="1:16" x14ac:dyDescent="0.25">
      <c r="A602">
        <v>1601</v>
      </c>
      <c r="B602" s="1">
        <v>45031</v>
      </c>
      <c r="C602" t="s">
        <v>52</v>
      </c>
      <c r="D602" t="s">
        <v>67</v>
      </c>
      <c r="E602" s="3">
        <v>1052</v>
      </c>
      <c r="F602" s="3">
        <v>3</v>
      </c>
      <c r="G602" s="3">
        <v>3156</v>
      </c>
      <c r="H602" s="3">
        <v>28</v>
      </c>
      <c r="I602" t="s">
        <v>32</v>
      </c>
      <c r="J602" t="s">
        <v>63</v>
      </c>
      <c r="K602" t="s">
        <v>42</v>
      </c>
      <c r="L602" t="s">
        <v>28</v>
      </c>
      <c r="M602" s="2">
        <v>0.1</v>
      </c>
      <c r="N602" t="s">
        <v>22</v>
      </c>
      <c r="O602" t="str">
        <f t="shared" si="19"/>
        <v>April</v>
      </c>
      <c r="P602" t="str">
        <f t="shared" si="18"/>
        <v>Young Adult</v>
      </c>
    </row>
    <row r="603" spans="1:16" x14ac:dyDescent="0.25">
      <c r="A603">
        <v>1602</v>
      </c>
      <c r="B603" s="1">
        <v>45245</v>
      </c>
      <c r="C603" t="s">
        <v>39</v>
      </c>
      <c r="D603" t="s">
        <v>78</v>
      </c>
      <c r="E603" s="3">
        <v>163</v>
      </c>
      <c r="F603" s="3">
        <v>4</v>
      </c>
      <c r="G603" s="3">
        <v>652</v>
      </c>
      <c r="H603" s="3">
        <v>33</v>
      </c>
      <c r="I603" t="s">
        <v>32</v>
      </c>
      <c r="J603" t="s">
        <v>51</v>
      </c>
      <c r="K603" t="s">
        <v>45</v>
      </c>
      <c r="L603" t="s">
        <v>28</v>
      </c>
      <c r="M603" s="2">
        <v>0.2</v>
      </c>
      <c r="N603" t="s">
        <v>29</v>
      </c>
      <c r="O603" t="str">
        <f t="shared" si="19"/>
        <v>November</v>
      </c>
      <c r="P603" t="str">
        <f t="shared" si="18"/>
        <v>Adult</v>
      </c>
    </row>
    <row r="604" spans="1:16" x14ac:dyDescent="0.25">
      <c r="A604">
        <v>1603</v>
      </c>
      <c r="B604" s="1">
        <v>45211</v>
      </c>
      <c r="C604" t="s">
        <v>39</v>
      </c>
      <c r="D604" t="s">
        <v>61</v>
      </c>
      <c r="E604" s="3">
        <v>222</v>
      </c>
      <c r="F604" s="3">
        <v>3</v>
      </c>
      <c r="G604" s="3">
        <v>666</v>
      </c>
      <c r="H604" s="3">
        <v>58</v>
      </c>
      <c r="I604" t="s">
        <v>32</v>
      </c>
      <c r="J604" t="s">
        <v>58</v>
      </c>
      <c r="K604" t="s">
        <v>33</v>
      </c>
      <c r="L604" t="s">
        <v>28</v>
      </c>
      <c r="M604" s="2">
        <v>0.25</v>
      </c>
      <c r="N604" t="s">
        <v>22</v>
      </c>
      <c r="O604" t="str">
        <f t="shared" si="19"/>
        <v>October</v>
      </c>
      <c r="P604" t="str">
        <f t="shared" si="18"/>
        <v>Middle-Aged</v>
      </c>
    </row>
    <row r="605" spans="1:16" x14ac:dyDescent="0.25">
      <c r="A605">
        <v>1604</v>
      </c>
      <c r="B605" s="1">
        <v>45297</v>
      </c>
      <c r="C605" t="s">
        <v>39</v>
      </c>
      <c r="D605" t="s">
        <v>46</v>
      </c>
      <c r="E605" s="3">
        <v>891</v>
      </c>
      <c r="F605" s="3">
        <v>5</v>
      </c>
      <c r="G605" s="3">
        <v>4455</v>
      </c>
      <c r="H605" s="3">
        <v>36</v>
      </c>
      <c r="I605" t="s">
        <v>32</v>
      </c>
      <c r="J605" t="s">
        <v>63</v>
      </c>
      <c r="K605" t="s">
        <v>45</v>
      </c>
      <c r="L605" t="s">
        <v>21</v>
      </c>
      <c r="M605" s="2">
        <v>0.05</v>
      </c>
      <c r="N605" t="s">
        <v>29</v>
      </c>
      <c r="O605" t="str">
        <f t="shared" si="19"/>
        <v>January</v>
      </c>
      <c r="P605" t="str">
        <f t="shared" si="18"/>
        <v>Adult</v>
      </c>
    </row>
    <row r="606" spans="1:16" x14ac:dyDescent="0.25">
      <c r="A606">
        <v>1605</v>
      </c>
      <c r="B606" s="1">
        <v>44936</v>
      </c>
      <c r="C606" t="s">
        <v>16</v>
      </c>
      <c r="D606" t="s">
        <v>83</v>
      </c>
      <c r="E606" s="3">
        <v>1110</v>
      </c>
      <c r="F606" s="3">
        <v>4</v>
      </c>
      <c r="G606" s="3">
        <v>4440</v>
      </c>
      <c r="H606" s="3">
        <v>57</v>
      </c>
      <c r="I606" t="s">
        <v>32</v>
      </c>
      <c r="J606" t="s">
        <v>60</v>
      </c>
      <c r="K606" t="s">
        <v>20</v>
      </c>
      <c r="L606" t="s">
        <v>21</v>
      </c>
      <c r="M606" s="2">
        <v>0.25</v>
      </c>
      <c r="N606" t="s">
        <v>29</v>
      </c>
      <c r="O606" t="str">
        <f t="shared" si="19"/>
        <v>January</v>
      </c>
      <c r="P606" t="str">
        <f t="shared" si="18"/>
        <v>Middle-Aged</v>
      </c>
    </row>
    <row r="607" spans="1:16" x14ac:dyDescent="0.25">
      <c r="A607">
        <v>1606</v>
      </c>
      <c r="B607" s="1">
        <v>45185</v>
      </c>
      <c r="C607" t="s">
        <v>16</v>
      </c>
      <c r="D607" t="s">
        <v>83</v>
      </c>
      <c r="E607" s="3">
        <v>1086</v>
      </c>
      <c r="F607" s="3">
        <v>1</v>
      </c>
      <c r="G607" s="3">
        <v>1086</v>
      </c>
      <c r="H607" s="3">
        <v>36</v>
      </c>
      <c r="I607" t="s">
        <v>32</v>
      </c>
      <c r="J607" t="s">
        <v>63</v>
      </c>
      <c r="K607" t="s">
        <v>42</v>
      </c>
      <c r="L607" t="s">
        <v>28</v>
      </c>
      <c r="M607" s="2">
        <v>0.05</v>
      </c>
      <c r="N607" t="s">
        <v>22</v>
      </c>
      <c r="O607" t="str">
        <f t="shared" si="19"/>
        <v>September</v>
      </c>
      <c r="P607" t="str">
        <f t="shared" si="18"/>
        <v>Adult</v>
      </c>
    </row>
    <row r="608" spans="1:16" x14ac:dyDescent="0.25">
      <c r="A608">
        <v>1607</v>
      </c>
      <c r="B608" s="1">
        <v>44971</v>
      </c>
      <c r="C608" t="s">
        <v>35</v>
      </c>
      <c r="D608" t="s">
        <v>72</v>
      </c>
      <c r="E608" s="3">
        <v>413</v>
      </c>
      <c r="F608" s="3">
        <v>1</v>
      </c>
      <c r="G608" s="3">
        <v>413</v>
      </c>
      <c r="H608" s="3">
        <v>48</v>
      </c>
      <c r="I608" t="s">
        <v>18</v>
      </c>
      <c r="J608" t="s">
        <v>58</v>
      </c>
      <c r="K608" t="s">
        <v>33</v>
      </c>
      <c r="L608" t="s">
        <v>28</v>
      </c>
      <c r="M608" s="2">
        <v>0.05</v>
      </c>
      <c r="N608" t="s">
        <v>22</v>
      </c>
      <c r="O608" t="str">
        <f t="shared" si="19"/>
        <v>February</v>
      </c>
      <c r="P608" t="str">
        <f t="shared" si="18"/>
        <v>Adult</v>
      </c>
    </row>
    <row r="609" spans="1:16" x14ac:dyDescent="0.25">
      <c r="A609">
        <v>1608</v>
      </c>
      <c r="B609" s="1">
        <v>44939</v>
      </c>
      <c r="C609" t="s">
        <v>35</v>
      </c>
      <c r="D609" t="s">
        <v>70</v>
      </c>
      <c r="E609" s="3">
        <v>283</v>
      </c>
      <c r="F609" s="3">
        <v>4</v>
      </c>
      <c r="G609" s="3">
        <v>1132</v>
      </c>
      <c r="H609" s="3">
        <v>36</v>
      </c>
      <c r="I609" t="s">
        <v>32</v>
      </c>
      <c r="J609" t="s">
        <v>26</v>
      </c>
      <c r="K609" t="s">
        <v>45</v>
      </c>
      <c r="L609" t="s">
        <v>47</v>
      </c>
      <c r="M609" s="2">
        <v>0.05</v>
      </c>
      <c r="N609" t="s">
        <v>22</v>
      </c>
      <c r="O609" t="str">
        <f t="shared" si="19"/>
        <v>January</v>
      </c>
      <c r="P609" t="str">
        <f t="shared" si="18"/>
        <v>Adult</v>
      </c>
    </row>
    <row r="610" spans="1:16" x14ac:dyDescent="0.25">
      <c r="A610">
        <v>1609</v>
      </c>
      <c r="B610" s="1">
        <v>44995</v>
      </c>
      <c r="C610" t="s">
        <v>35</v>
      </c>
      <c r="D610" t="s">
        <v>75</v>
      </c>
      <c r="E610" s="3">
        <v>817</v>
      </c>
      <c r="F610" s="3">
        <v>3</v>
      </c>
      <c r="G610" s="3">
        <v>2451</v>
      </c>
      <c r="H610" s="3">
        <v>47</v>
      </c>
      <c r="I610" t="s">
        <v>18</v>
      </c>
      <c r="J610" t="s">
        <v>51</v>
      </c>
      <c r="K610" t="s">
        <v>37</v>
      </c>
      <c r="L610" t="s">
        <v>21</v>
      </c>
      <c r="M610" s="2">
        <v>0.15</v>
      </c>
      <c r="N610" t="s">
        <v>29</v>
      </c>
      <c r="O610" t="str">
        <f t="shared" si="19"/>
        <v>March</v>
      </c>
      <c r="P610" t="str">
        <f t="shared" si="18"/>
        <v>Adult</v>
      </c>
    </row>
    <row r="611" spans="1:16" x14ac:dyDescent="0.25">
      <c r="A611">
        <v>1610</v>
      </c>
      <c r="B611" s="1">
        <v>45313</v>
      </c>
      <c r="C611" t="s">
        <v>16</v>
      </c>
      <c r="D611" t="s">
        <v>56</v>
      </c>
      <c r="E611" s="3">
        <v>826</v>
      </c>
      <c r="F611" s="3">
        <v>4</v>
      </c>
      <c r="G611" s="3">
        <v>3304</v>
      </c>
      <c r="H611" s="3">
        <v>23</v>
      </c>
      <c r="I611" t="s">
        <v>18</v>
      </c>
      <c r="J611" t="s">
        <v>48</v>
      </c>
      <c r="K611" t="s">
        <v>27</v>
      </c>
      <c r="L611" t="s">
        <v>28</v>
      </c>
      <c r="M611" s="2">
        <v>0.15</v>
      </c>
      <c r="N611" t="s">
        <v>29</v>
      </c>
      <c r="O611" t="str">
        <f t="shared" si="19"/>
        <v>January</v>
      </c>
      <c r="P611" t="str">
        <f t="shared" si="18"/>
        <v>Young Adult</v>
      </c>
    </row>
    <row r="612" spans="1:16" x14ac:dyDescent="0.25">
      <c r="A612">
        <v>1611</v>
      </c>
      <c r="B612" s="1">
        <v>45205</v>
      </c>
      <c r="C612" t="s">
        <v>16</v>
      </c>
      <c r="D612" t="s">
        <v>62</v>
      </c>
      <c r="E612" s="3">
        <v>110</v>
      </c>
      <c r="F612" s="3">
        <v>1</v>
      </c>
      <c r="G612" s="3">
        <v>110</v>
      </c>
      <c r="H612" s="3">
        <v>49</v>
      </c>
      <c r="I612" t="s">
        <v>32</v>
      </c>
      <c r="J612" t="s">
        <v>19</v>
      </c>
      <c r="K612" t="s">
        <v>42</v>
      </c>
      <c r="L612" t="s">
        <v>38</v>
      </c>
      <c r="M612" s="2">
        <v>0.2</v>
      </c>
      <c r="N612" t="s">
        <v>29</v>
      </c>
      <c r="O612" t="str">
        <f t="shared" si="19"/>
        <v>October</v>
      </c>
      <c r="P612" t="str">
        <f t="shared" si="18"/>
        <v>Adult</v>
      </c>
    </row>
    <row r="613" spans="1:16" x14ac:dyDescent="0.25">
      <c r="A613">
        <v>1612</v>
      </c>
      <c r="B613" s="1">
        <v>45152</v>
      </c>
      <c r="C613" t="s">
        <v>39</v>
      </c>
      <c r="D613" t="s">
        <v>46</v>
      </c>
      <c r="E613" s="3">
        <v>1168</v>
      </c>
      <c r="F613" s="3">
        <v>1</v>
      </c>
      <c r="G613" s="3">
        <v>1168</v>
      </c>
      <c r="H613" s="3">
        <v>20</v>
      </c>
      <c r="I613" t="s">
        <v>18</v>
      </c>
      <c r="J613" t="s">
        <v>60</v>
      </c>
      <c r="K613" t="s">
        <v>42</v>
      </c>
      <c r="L613" t="s">
        <v>47</v>
      </c>
      <c r="M613" s="2">
        <v>0.25</v>
      </c>
      <c r="N613" t="s">
        <v>22</v>
      </c>
      <c r="O613" t="str">
        <f t="shared" si="19"/>
        <v>August</v>
      </c>
      <c r="P613" t="str">
        <f t="shared" si="18"/>
        <v>Young Adult</v>
      </c>
    </row>
    <row r="614" spans="1:16" x14ac:dyDescent="0.25">
      <c r="A614">
        <v>1613</v>
      </c>
      <c r="B614" s="1">
        <v>45090</v>
      </c>
      <c r="C614" t="s">
        <v>39</v>
      </c>
      <c r="D614" t="s">
        <v>46</v>
      </c>
      <c r="E614" s="3">
        <v>505</v>
      </c>
      <c r="F614" s="3">
        <v>5</v>
      </c>
      <c r="G614" s="3">
        <v>2525</v>
      </c>
      <c r="H614" s="3">
        <v>45</v>
      </c>
      <c r="I614" t="s">
        <v>32</v>
      </c>
      <c r="J614" t="s">
        <v>51</v>
      </c>
      <c r="K614" t="s">
        <v>27</v>
      </c>
      <c r="L614" t="s">
        <v>34</v>
      </c>
      <c r="M614" s="2">
        <v>0.3</v>
      </c>
      <c r="N614" t="s">
        <v>22</v>
      </c>
      <c r="O614" t="str">
        <f t="shared" si="19"/>
        <v>June</v>
      </c>
      <c r="P614" t="str">
        <f t="shared" si="18"/>
        <v>Adult</v>
      </c>
    </row>
    <row r="615" spans="1:16" x14ac:dyDescent="0.25">
      <c r="A615">
        <v>1614</v>
      </c>
      <c r="B615" s="1">
        <v>44985</v>
      </c>
      <c r="C615" t="s">
        <v>30</v>
      </c>
      <c r="D615" t="s">
        <v>79</v>
      </c>
      <c r="E615" s="3">
        <v>363</v>
      </c>
      <c r="F615" s="3">
        <v>3</v>
      </c>
      <c r="G615" s="3">
        <v>1089</v>
      </c>
      <c r="H615" s="3">
        <v>18</v>
      </c>
      <c r="I615" t="s">
        <v>32</v>
      </c>
      <c r="J615" t="s">
        <v>63</v>
      </c>
      <c r="K615" t="s">
        <v>27</v>
      </c>
      <c r="L615" t="s">
        <v>38</v>
      </c>
      <c r="M615" s="2">
        <v>0.2</v>
      </c>
      <c r="N615" t="s">
        <v>22</v>
      </c>
      <c r="O615" t="str">
        <f t="shared" si="19"/>
        <v>February</v>
      </c>
      <c r="P615" t="str">
        <f t="shared" si="18"/>
        <v>Young Adult</v>
      </c>
    </row>
    <row r="616" spans="1:16" x14ac:dyDescent="0.25">
      <c r="A616">
        <v>1615</v>
      </c>
      <c r="B616" s="1">
        <v>45235</v>
      </c>
      <c r="C616" t="s">
        <v>49</v>
      </c>
      <c r="D616" t="s">
        <v>66</v>
      </c>
      <c r="E616" s="3">
        <v>777</v>
      </c>
      <c r="F616" s="3">
        <v>4</v>
      </c>
      <c r="G616" s="3">
        <v>3108</v>
      </c>
      <c r="H616" s="3">
        <v>49</v>
      </c>
      <c r="I616" t="s">
        <v>32</v>
      </c>
      <c r="J616" t="s">
        <v>60</v>
      </c>
      <c r="K616" t="s">
        <v>37</v>
      </c>
      <c r="L616" t="s">
        <v>21</v>
      </c>
      <c r="M616" s="2">
        <v>0.2</v>
      </c>
      <c r="N616" t="s">
        <v>22</v>
      </c>
      <c r="O616" t="str">
        <f t="shared" si="19"/>
        <v>November</v>
      </c>
      <c r="P616" t="str">
        <f t="shared" si="18"/>
        <v>Adult</v>
      </c>
    </row>
    <row r="617" spans="1:16" x14ac:dyDescent="0.25">
      <c r="A617">
        <v>1616</v>
      </c>
      <c r="B617" s="1">
        <v>45244</v>
      </c>
      <c r="C617" t="s">
        <v>52</v>
      </c>
      <c r="D617" t="s">
        <v>82</v>
      </c>
      <c r="E617" s="3">
        <v>1293</v>
      </c>
      <c r="F617" s="3">
        <v>4</v>
      </c>
      <c r="G617" s="3">
        <v>5172</v>
      </c>
      <c r="H617" s="3">
        <v>39</v>
      </c>
      <c r="I617" t="s">
        <v>32</v>
      </c>
      <c r="J617" t="s">
        <v>43</v>
      </c>
      <c r="K617" t="s">
        <v>45</v>
      </c>
      <c r="L617" t="s">
        <v>47</v>
      </c>
      <c r="M617" s="2">
        <v>0.15</v>
      </c>
      <c r="N617" t="s">
        <v>22</v>
      </c>
      <c r="O617" t="str">
        <f t="shared" si="19"/>
        <v>November</v>
      </c>
      <c r="P617" t="str">
        <f t="shared" si="18"/>
        <v>Adult</v>
      </c>
    </row>
    <row r="618" spans="1:16" x14ac:dyDescent="0.25">
      <c r="A618">
        <v>1617</v>
      </c>
      <c r="B618" s="1">
        <v>45171</v>
      </c>
      <c r="C618" t="s">
        <v>16</v>
      </c>
      <c r="D618" t="s">
        <v>59</v>
      </c>
      <c r="E618" s="3">
        <v>833</v>
      </c>
      <c r="F618" s="3">
        <v>5</v>
      </c>
      <c r="G618" s="3">
        <v>4165</v>
      </c>
      <c r="H618" s="3">
        <v>30</v>
      </c>
      <c r="I618" t="s">
        <v>18</v>
      </c>
      <c r="J618" t="s">
        <v>60</v>
      </c>
      <c r="K618" t="s">
        <v>33</v>
      </c>
      <c r="L618" t="s">
        <v>47</v>
      </c>
      <c r="M618" s="2">
        <v>0.3</v>
      </c>
      <c r="N618" t="s">
        <v>22</v>
      </c>
      <c r="O618" t="str">
        <f t="shared" si="19"/>
        <v>September</v>
      </c>
      <c r="P618" t="str">
        <f t="shared" si="18"/>
        <v>Adult</v>
      </c>
    </row>
    <row r="619" spans="1:16" x14ac:dyDescent="0.25">
      <c r="A619">
        <v>1618</v>
      </c>
      <c r="B619" s="1">
        <v>45220</v>
      </c>
      <c r="C619" t="s">
        <v>49</v>
      </c>
      <c r="D619" t="s">
        <v>64</v>
      </c>
      <c r="E619" s="3">
        <v>930</v>
      </c>
      <c r="F619" s="3">
        <v>3</v>
      </c>
      <c r="G619" s="3">
        <v>2790</v>
      </c>
      <c r="H619" s="3">
        <v>51</v>
      </c>
      <c r="I619" t="s">
        <v>32</v>
      </c>
      <c r="J619" t="s">
        <v>41</v>
      </c>
      <c r="K619" t="s">
        <v>27</v>
      </c>
      <c r="L619" t="s">
        <v>28</v>
      </c>
      <c r="M619" s="2">
        <v>0.15</v>
      </c>
      <c r="N619" t="s">
        <v>22</v>
      </c>
      <c r="O619" t="str">
        <f t="shared" si="19"/>
        <v>October</v>
      </c>
      <c r="P619" t="str">
        <f t="shared" si="18"/>
        <v>Middle-Aged</v>
      </c>
    </row>
    <row r="620" spans="1:16" x14ac:dyDescent="0.25">
      <c r="A620">
        <v>1619</v>
      </c>
      <c r="B620" s="1">
        <v>45192</v>
      </c>
      <c r="C620" t="s">
        <v>16</v>
      </c>
      <c r="D620" t="s">
        <v>83</v>
      </c>
      <c r="E620" s="3">
        <v>860</v>
      </c>
      <c r="F620" s="3">
        <v>4</v>
      </c>
      <c r="G620" s="3">
        <v>3440</v>
      </c>
      <c r="H620" s="3">
        <v>32</v>
      </c>
      <c r="I620" t="s">
        <v>32</v>
      </c>
      <c r="J620" t="s">
        <v>51</v>
      </c>
      <c r="K620" t="s">
        <v>42</v>
      </c>
      <c r="L620" t="s">
        <v>28</v>
      </c>
      <c r="M620" s="2">
        <v>0.2</v>
      </c>
      <c r="N620" t="s">
        <v>29</v>
      </c>
      <c r="O620" t="str">
        <f t="shared" si="19"/>
        <v>September</v>
      </c>
      <c r="P620" t="str">
        <f t="shared" si="18"/>
        <v>Adult</v>
      </c>
    </row>
    <row r="621" spans="1:16" x14ac:dyDescent="0.25">
      <c r="A621">
        <v>1620</v>
      </c>
      <c r="B621" s="1">
        <v>45103</v>
      </c>
      <c r="C621" t="s">
        <v>39</v>
      </c>
      <c r="D621" t="s">
        <v>61</v>
      </c>
      <c r="E621" s="3">
        <v>1499</v>
      </c>
      <c r="F621" s="3">
        <v>5</v>
      </c>
      <c r="G621" s="3">
        <v>7495</v>
      </c>
      <c r="H621" s="3">
        <v>24</v>
      </c>
      <c r="I621" t="s">
        <v>32</v>
      </c>
      <c r="J621" t="s">
        <v>48</v>
      </c>
      <c r="K621" t="s">
        <v>42</v>
      </c>
      <c r="L621" t="s">
        <v>38</v>
      </c>
      <c r="M621" s="2">
        <v>0.15</v>
      </c>
      <c r="N621" t="s">
        <v>29</v>
      </c>
      <c r="O621" t="str">
        <f t="shared" si="19"/>
        <v>June</v>
      </c>
      <c r="P621" t="str">
        <f t="shared" si="18"/>
        <v>Young Adult</v>
      </c>
    </row>
    <row r="622" spans="1:16" x14ac:dyDescent="0.25">
      <c r="A622">
        <v>1621</v>
      </c>
      <c r="B622" s="1">
        <v>44993</v>
      </c>
      <c r="C622" t="s">
        <v>35</v>
      </c>
      <c r="D622" t="s">
        <v>70</v>
      </c>
      <c r="E622" s="3">
        <v>537</v>
      </c>
      <c r="F622" s="3">
        <v>3</v>
      </c>
      <c r="G622" s="3">
        <v>1611</v>
      </c>
      <c r="H622" s="3">
        <v>42</v>
      </c>
      <c r="I622" t="s">
        <v>18</v>
      </c>
      <c r="J622" t="s">
        <v>51</v>
      </c>
      <c r="K622" t="s">
        <v>45</v>
      </c>
      <c r="L622" t="s">
        <v>38</v>
      </c>
      <c r="M622" s="2">
        <v>0.3</v>
      </c>
      <c r="N622" t="s">
        <v>29</v>
      </c>
      <c r="O622" t="str">
        <f t="shared" si="19"/>
        <v>March</v>
      </c>
      <c r="P622" t="str">
        <f t="shared" si="18"/>
        <v>Adult</v>
      </c>
    </row>
    <row r="623" spans="1:16" x14ac:dyDescent="0.25">
      <c r="A623">
        <v>1622</v>
      </c>
      <c r="B623" s="1">
        <v>45057</v>
      </c>
      <c r="C623" t="s">
        <v>49</v>
      </c>
      <c r="D623" t="s">
        <v>64</v>
      </c>
      <c r="E623" s="3">
        <v>1357</v>
      </c>
      <c r="F623" s="3">
        <v>1</v>
      </c>
      <c r="G623" s="3">
        <v>1357</v>
      </c>
      <c r="H623" s="3">
        <v>37</v>
      </c>
      <c r="I623" t="s">
        <v>18</v>
      </c>
      <c r="J623" t="s">
        <v>19</v>
      </c>
      <c r="K623" t="s">
        <v>27</v>
      </c>
      <c r="L623" t="s">
        <v>28</v>
      </c>
      <c r="M623" s="2">
        <v>0.15</v>
      </c>
      <c r="N623" t="s">
        <v>29</v>
      </c>
      <c r="O623" t="str">
        <f t="shared" si="19"/>
        <v>May</v>
      </c>
      <c r="P623" t="str">
        <f t="shared" si="18"/>
        <v>Adult</v>
      </c>
    </row>
    <row r="624" spans="1:16" x14ac:dyDescent="0.25">
      <c r="A624">
        <v>1623</v>
      </c>
      <c r="B624" s="1">
        <v>45058</v>
      </c>
      <c r="C624" t="s">
        <v>24</v>
      </c>
      <c r="D624" t="s">
        <v>54</v>
      </c>
      <c r="E624" s="3">
        <v>949</v>
      </c>
      <c r="F624" s="3">
        <v>3</v>
      </c>
      <c r="G624" s="3">
        <v>2847</v>
      </c>
      <c r="H624" s="3">
        <v>42</v>
      </c>
      <c r="I624" t="s">
        <v>18</v>
      </c>
      <c r="J624" t="s">
        <v>51</v>
      </c>
      <c r="K624" t="s">
        <v>42</v>
      </c>
      <c r="L624" t="s">
        <v>21</v>
      </c>
      <c r="M624" s="2">
        <v>0.2</v>
      </c>
      <c r="N624" t="s">
        <v>22</v>
      </c>
      <c r="O624" t="str">
        <f t="shared" si="19"/>
        <v>May</v>
      </c>
      <c r="P624" t="str">
        <f t="shared" si="18"/>
        <v>Adult</v>
      </c>
    </row>
    <row r="625" spans="1:16" x14ac:dyDescent="0.25">
      <c r="A625">
        <v>1624</v>
      </c>
      <c r="B625" s="1">
        <v>45044</v>
      </c>
      <c r="C625" t="s">
        <v>16</v>
      </c>
      <c r="D625" t="s">
        <v>59</v>
      </c>
      <c r="E625" s="3">
        <v>747</v>
      </c>
      <c r="F625" s="3">
        <v>4</v>
      </c>
      <c r="G625" s="3">
        <v>2988</v>
      </c>
      <c r="H625" s="3">
        <v>39</v>
      </c>
      <c r="I625" t="s">
        <v>18</v>
      </c>
      <c r="J625" t="s">
        <v>60</v>
      </c>
      <c r="K625" t="s">
        <v>33</v>
      </c>
      <c r="L625" t="s">
        <v>47</v>
      </c>
      <c r="M625" s="2">
        <v>0.2</v>
      </c>
      <c r="N625" t="s">
        <v>29</v>
      </c>
      <c r="O625" t="str">
        <f t="shared" si="19"/>
        <v>April</v>
      </c>
      <c r="P625" t="str">
        <f t="shared" si="18"/>
        <v>Adult</v>
      </c>
    </row>
    <row r="626" spans="1:16" x14ac:dyDescent="0.25">
      <c r="A626">
        <v>1625</v>
      </c>
      <c r="B626" s="1">
        <v>45081</v>
      </c>
      <c r="C626" t="s">
        <v>16</v>
      </c>
      <c r="D626" t="s">
        <v>71</v>
      </c>
      <c r="E626" s="3">
        <v>476</v>
      </c>
      <c r="F626" s="3">
        <v>3</v>
      </c>
      <c r="G626" s="3">
        <v>1428</v>
      </c>
      <c r="H626" s="3">
        <v>49</v>
      </c>
      <c r="I626" t="s">
        <v>32</v>
      </c>
      <c r="J626" t="s">
        <v>26</v>
      </c>
      <c r="K626" t="s">
        <v>33</v>
      </c>
      <c r="L626" t="s">
        <v>47</v>
      </c>
      <c r="M626" s="2">
        <v>0.3</v>
      </c>
      <c r="N626" t="s">
        <v>29</v>
      </c>
      <c r="O626" t="str">
        <f t="shared" si="19"/>
        <v>June</v>
      </c>
      <c r="P626" t="str">
        <f t="shared" si="18"/>
        <v>Adult</v>
      </c>
    </row>
    <row r="627" spans="1:16" x14ac:dyDescent="0.25">
      <c r="A627">
        <v>1626</v>
      </c>
      <c r="B627" s="1">
        <v>45019</v>
      </c>
      <c r="C627" t="s">
        <v>16</v>
      </c>
      <c r="D627" t="s">
        <v>59</v>
      </c>
      <c r="E627" s="3">
        <v>80</v>
      </c>
      <c r="F627" s="3">
        <v>2</v>
      </c>
      <c r="G627" s="3">
        <v>160</v>
      </c>
      <c r="H627" s="3">
        <v>51</v>
      </c>
      <c r="I627" t="s">
        <v>18</v>
      </c>
      <c r="J627" t="s">
        <v>43</v>
      </c>
      <c r="K627" t="s">
        <v>42</v>
      </c>
      <c r="L627" t="s">
        <v>38</v>
      </c>
      <c r="M627" s="2">
        <v>0.05</v>
      </c>
      <c r="N627" t="s">
        <v>22</v>
      </c>
      <c r="O627" t="str">
        <f t="shared" si="19"/>
        <v>April</v>
      </c>
      <c r="P627" t="str">
        <f t="shared" si="18"/>
        <v>Middle-Aged</v>
      </c>
    </row>
    <row r="628" spans="1:16" x14ac:dyDescent="0.25">
      <c r="A628">
        <v>1627</v>
      </c>
      <c r="B628" s="1">
        <v>45317</v>
      </c>
      <c r="C628" t="s">
        <v>35</v>
      </c>
      <c r="D628" t="s">
        <v>75</v>
      </c>
      <c r="E628" s="3">
        <v>1010</v>
      </c>
      <c r="F628" s="3">
        <v>4</v>
      </c>
      <c r="G628" s="3">
        <v>4040</v>
      </c>
      <c r="H628" s="3">
        <v>30</v>
      </c>
      <c r="I628" t="s">
        <v>32</v>
      </c>
      <c r="J628" t="s">
        <v>48</v>
      </c>
      <c r="K628" t="s">
        <v>37</v>
      </c>
      <c r="L628" t="s">
        <v>21</v>
      </c>
      <c r="M628" s="2">
        <v>0.15</v>
      </c>
      <c r="N628" t="s">
        <v>22</v>
      </c>
      <c r="O628" t="str">
        <f t="shared" si="19"/>
        <v>January</v>
      </c>
      <c r="P628" t="str">
        <f t="shared" si="18"/>
        <v>Adult</v>
      </c>
    </row>
    <row r="629" spans="1:16" x14ac:dyDescent="0.25">
      <c r="A629">
        <v>1628</v>
      </c>
      <c r="B629" s="1">
        <v>44952</v>
      </c>
      <c r="C629" t="s">
        <v>30</v>
      </c>
      <c r="D629" t="s">
        <v>44</v>
      </c>
      <c r="E629" s="3">
        <v>929</v>
      </c>
      <c r="F629" s="3">
        <v>2</v>
      </c>
      <c r="G629" s="3">
        <v>1858</v>
      </c>
      <c r="H629" s="3">
        <v>48</v>
      </c>
      <c r="I629" t="s">
        <v>32</v>
      </c>
      <c r="J629" t="s">
        <v>41</v>
      </c>
      <c r="K629" t="s">
        <v>20</v>
      </c>
      <c r="L629" t="s">
        <v>21</v>
      </c>
      <c r="M629" s="2">
        <v>0.25</v>
      </c>
      <c r="N629" t="s">
        <v>29</v>
      </c>
      <c r="O629" t="str">
        <f t="shared" si="19"/>
        <v>January</v>
      </c>
      <c r="P629" t="str">
        <f t="shared" si="18"/>
        <v>Adult</v>
      </c>
    </row>
    <row r="630" spans="1:16" x14ac:dyDescent="0.25">
      <c r="A630">
        <v>1629</v>
      </c>
      <c r="B630" s="1">
        <v>45016</v>
      </c>
      <c r="C630" t="s">
        <v>16</v>
      </c>
      <c r="D630" t="s">
        <v>62</v>
      </c>
      <c r="E630" s="3">
        <v>534</v>
      </c>
      <c r="F630" s="3">
        <v>2</v>
      </c>
      <c r="G630" s="3">
        <v>1068</v>
      </c>
      <c r="H630" s="3">
        <v>48</v>
      </c>
      <c r="I630" t="s">
        <v>18</v>
      </c>
      <c r="J630" t="s">
        <v>19</v>
      </c>
      <c r="K630" t="s">
        <v>33</v>
      </c>
      <c r="L630" t="s">
        <v>28</v>
      </c>
      <c r="M630" s="2">
        <v>0.2</v>
      </c>
      <c r="N630" t="s">
        <v>22</v>
      </c>
      <c r="O630" t="str">
        <f t="shared" si="19"/>
        <v>March</v>
      </c>
      <c r="P630" t="str">
        <f t="shared" si="18"/>
        <v>Adult</v>
      </c>
    </row>
    <row r="631" spans="1:16" x14ac:dyDescent="0.25">
      <c r="A631">
        <v>1630</v>
      </c>
      <c r="B631" s="1">
        <v>44992</v>
      </c>
      <c r="C631" t="s">
        <v>35</v>
      </c>
      <c r="D631" t="s">
        <v>70</v>
      </c>
      <c r="E631" s="3">
        <v>336</v>
      </c>
      <c r="F631" s="3">
        <v>4</v>
      </c>
      <c r="G631" s="3">
        <v>1344</v>
      </c>
      <c r="H631" s="3">
        <v>58</v>
      </c>
      <c r="I631" t="s">
        <v>18</v>
      </c>
      <c r="J631" t="s">
        <v>43</v>
      </c>
      <c r="K631" t="s">
        <v>45</v>
      </c>
      <c r="L631" t="s">
        <v>47</v>
      </c>
      <c r="M631" s="2">
        <v>0.15</v>
      </c>
      <c r="N631" t="s">
        <v>22</v>
      </c>
      <c r="O631" t="str">
        <f t="shared" si="19"/>
        <v>March</v>
      </c>
      <c r="P631" t="str">
        <f t="shared" si="18"/>
        <v>Middle-Aged</v>
      </c>
    </row>
    <row r="632" spans="1:16" x14ac:dyDescent="0.25">
      <c r="A632">
        <v>1631</v>
      </c>
      <c r="B632" s="1">
        <v>45225</v>
      </c>
      <c r="C632" t="s">
        <v>16</v>
      </c>
      <c r="D632" t="s">
        <v>56</v>
      </c>
      <c r="E632" s="3">
        <v>376</v>
      </c>
      <c r="F632" s="3">
        <v>3</v>
      </c>
      <c r="G632" s="3">
        <v>1128</v>
      </c>
      <c r="H632" s="3">
        <v>55</v>
      </c>
      <c r="I632" t="s">
        <v>32</v>
      </c>
      <c r="J632" t="s">
        <v>48</v>
      </c>
      <c r="K632" t="s">
        <v>37</v>
      </c>
      <c r="L632" t="s">
        <v>47</v>
      </c>
      <c r="M632" s="2">
        <v>0.05</v>
      </c>
      <c r="N632" t="s">
        <v>29</v>
      </c>
      <c r="O632" t="str">
        <f t="shared" si="19"/>
        <v>October</v>
      </c>
      <c r="P632" t="str">
        <f t="shared" si="18"/>
        <v>Middle-Aged</v>
      </c>
    </row>
    <row r="633" spans="1:16" x14ac:dyDescent="0.25">
      <c r="A633">
        <v>1632</v>
      </c>
      <c r="B633" s="1">
        <v>44964</v>
      </c>
      <c r="C633" t="s">
        <v>49</v>
      </c>
      <c r="D633" t="s">
        <v>66</v>
      </c>
      <c r="E633" s="3">
        <v>947</v>
      </c>
      <c r="F633" s="3">
        <v>2</v>
      </c>
      <c r="G633" s="3">
        <v>1894</v>
      </c>
      <c r="H633" s="3">
        <v>27</v>
      </c>
      <c r="I633" t="s">
        <v>32</v>
      </c>
      <c r="J633" t="s">
        <v>55</v>
      </c>
      <c r="K633" t="s">
        <v>42</v>
      </c>
      <c r="L633" t="s">
        <v>28</v>
      </c>
      <c r="M633" s="2">
        <v>0.05</v>
      </c>
      <c r="N633" t="s">
        <v>29</v>
      </c>
      <c r="O633" t="str">
        <f t="shared" si="19"/>
        <v>February</v>
      </c>
      <c r="P633" t="str">
        <f t="shared" si="18"/>
        <v>Young Adult</v>
      </c>
    </row>
    <row r="634" spans="1:16" x14ac:dyDescent="0.25">
      <c r="A634">
        <v>1633</v>
      </c>
      <c r="B634" s="1">
        <v>45146</v>
      </c>
      <c r="C634" t="s">
        <v>30</v>
      </c>
      <c r="D634" t="s">
        <v>31</v>
      </c>
      <c r="E634" s="3">
        <v>82</v>
      </c>
      <c r="F634" s="3">
        <v>2</v>
      </c>
      <c r="G634" s="3">
        <v>164</v>
      </c>
      <c r="H634" s="3">
        <v>58</v>
      </c>
      <c r="I634" t="s">
        <v>18</v>
      </c>
      <c r="J634" t="s">
        <v>55</v>
      </c>
      <c r="K634" t="s">
        <v>33</v>
      </c>
      <c r="L634" t="s">
        <v>34</v>
      </c>
      <c r="M634" s="2">
        <v>0.2</v>
      </c>
      <c r="N634" t="s">
        <v>22</v>
      </c>
      <c r="O634" t="str">
        <f t="shared" si="19"/>
        <v>August</v>
      </c>
      <c r="P634" t="str">
        <f t="shared" si="18"/>
        <v>Middle-Aged</v>
      </c>
    </row>
    <row r="635" spans="1:16" x14ac:dyDescent="0.25">
      <c r="A635">
        <v>1634</v>
      </c>
      <c r="B635" s="1">
        <v>45286</v>
      </c>
      <c r="C635" t="s">
        <v>49</v>
      </c>
      <c r="D635" t="s">
        <v>81</v>
      </c>
      <c r="E635" s="3">
        <v>1058</v>
      </c>
      <c r="F635" s="3">
        <v>5</v>
      </c>
      <c r="G635" s="3">
        <v>5290</v>
      </c>
      <c r="H635" s="3">
        <v>56</v>
      </c>
      <c r="I635" t="s">
        <v>18</v>
      </c>
      <c r="J635" t="s">
        <v>58</v>
      </c>
      <c r="K635" t="s">
        <v>45</v>
      </c>
      <c r="L635" t="s">
        <v>28</v>
      </c>
      <c r="M635" s="2">
        <v>0.05</v>
      </c>
      <c r="N635" t="s">
        <v>22</v>
      </c>
      <c r="O635" t="str">
        <f t="shared" si="19"/>
        <v>December</v>
      </c>
      <c r="P635" t="str">
        <f t="shared" si="18"/>
        <v>Middle-Aged</v>
      </c>
    </row>
    <row r="636" spans="1:16" x14ac:dyDescent="0.25">
      <c r="A636">
        <v>1635</v>
      </c>
      <c r="B636" s="1">
        <v>45258</v>
      </c>
      <c r="C636" t="s">
        <v>24</v>
      </c>
      <c r="D636" t="s">
        <v>80</v>
      </c>
      <c r="E636" s="3">
        <v>76</v>
      </c>
      <c r="F636" s="3">
        <v>5</v>
      </c>
      <c r="G636" s="3">
        <v>380</v>
      </c>
      <c r="H636" s="3">
        <v>50</v>
      </c>
      <c r="I636" t="s">
        <v>18</v>
      </c>
      <c r="J636" t="s">
        <v>41</v>
      </c>
      <c r="K636" t="s">
        <v>27</v>
      </c>
      <c r="L636" t="s">
        <v>21</v>
      </c>
      <c r="M636" s="2">
        <v>0.05</v>
      </c>
      <c r="N636" t="s">
        <v>22</v>
      </c>
      <c r="O636" t="str">
        <f t="shared" si="19"/>
        <v>November</v>
      </c>
      <c r="P636" t="str">
        <f t="shared" si="18"/>
        <v>Middle-Aged</v>
      </c>
    </row>
    <row r="637" spans="1:16" x14ac:dyDescent="0.25">
      <c r="A637">
        <v>1636</v>
      </c>
      <c r="B637" s="1">
        <v>44952</v>
      </c>
      <c r="C637" t="s">
        <v>35</v>
      </c>
      <c r="D637" t="s">
        <v>72</v>
      </c>
      <c r="E637" s="3">
        <v>532</v>
      </c>
      <c r="F637" s="3">
        <v>2</v>
      </c>
      <c r="G637" s="3">
        <v>1064</v>
      </c>
      <c r="H637" s="3">
        <v>37</v>
      </c>
      <c r="I637" t="s">
        <v>18</v>
      </c>
      <c r="J637" t="s">
        <v>51</v>
      </c>
      <c r="K637" t="s">
        <v>33</v>
      </c>
      <c r="L637" t="s">
        <v>28</v>
      </c>
      <c r="M637" s="2">
        <v>0.3</v>
      </c>
      <c r="N637" t="s">
        <v>22</v>
      </c>
      <c r="O637" t="str">
        <f t="shared" si="19"/>
        <v>January</v>
      </c>
      <c r="P637" t="str">
        <f t="shared" si="18"/>
        <v>Adult</v>
      </c>
    </row>
    <row r="638" spans="1:16" x14ac:dyDescent="0.25">
      <c r="A638">
        <v>1637</v>
      </c>
      <c r="B638" s="1">
        <v>44965</v>
      </c>
      <c r="C638" t="s">
        <v>39</v>
      </c>
      <c r="D638" t="s">
        <v>61</v>
      </c>
      <c r="E638" s="3">
        <v>1109</v>
      </c>
      <c r="F638" s="3">
        <v>3</v>
      </c>
      <c r="G638" s="3">
        <v>3327</v>
      </c>
      <c r="H638" s="3">
        <v>50</v>
      </c>
      <c r="I638" t="s">
        <v>32</v>
      </c>
      <c r="J638" t="s">
        <v>48</v>
      </c>
      <c r="K638" t="s">
        <v>20</v>
      </c>
      <c r="L638" t="s">
        <v>34</v>
      </c>
      <c r="M638" s="2">
        <v>0.3</v>
      </c>
      <c r="N638" t="s">
        <v>22</v>
      </c>
      <c r="O638" t="str">
        <f t="shared" si="19"/>
        <v>February</v>
      </c>
      <c r="P638" t="str">
        <f t="shared" si="18"/>
        <v>Middle-Aged</v>
      </c>
    </row>
    <row r="639" spans="1:16" x14ac:dyDescent="0.25">
      <c r="A639">
        <v>1638</v>
      </c>
      <c r="B639" s="1">
        <v>45164</v>
      </c>
      <c r="C639" t="s">
        <v>16</v>
      </c>
      <c r="D639" t="s">
        <v>83</v>
      </c>
      <c r="E639" s="3">
        <v>356</v>
      </c>
      <c r="F639" s="3">
        <v>4</v>
      </c>
      <c r="G639" s="3">
        <v>1424</v>
      </c>
      <c r="H639" s="3">
        <v>39</v>
      </c>
      <c r="I639" t="s">
        <v>18</v>
      </c>
      <c r="J639" t="s">
        <v>41</v>
      </c>
      <c r="K639" t="s">
        <v>37</v>
      </c>
      <c r="L639" t="s">
        <v>47</v>
      </c>
      <c r="M639" s="2">
        <v>0.05</v>
      </c>
      <c r="N639" t="s">
        <v>22</v>
      </c>
      <c r="O639" t="str">
        <f t="shared" si="19"/>
        <v>August</v>
      </c>
      <c r="P639" t="str">
        <f t="shared" si="18"/>
        <v>Adult</v>
      </c>
    </row>
    <row r="640" spans="1:16" x14ac:dyDescent="0.25">
      <c r="A640">
        <v>1639</v>
      </c>
      <c r="B640" s="1">
        <v>45120</v>
      </c>
      <c r="C640" t="s">
        <v>35</v>
      </c>
      <c r="D640" t="s">
        <v>70</v>
      </c>
      <c r="E640" s="3">
        <v>206</v>
      </c>
      <c r="F640" s="3">
        <v>3</v>
      </c>
      <c r="G640" s="3">
        <v>618</v>
      </c>
      <c r="H640" s="3">
        <v>60</v>
      </c>
      <c r="I640" t="s">
        <v>18</v>
      </c>
      <c r="J640" t="s">
        <v>26</v>
      </c>
      <c r="K640" t="s">
        <v>27</v>
      </c>
      <c r="L640" t="s">
        <v>47</v>
      </c>
      <c r="M640" s="2">
        <v>0.3</v>
      </c>
      <c r="N640" t="s">
        <v>29</v>
      </c>
      <c r="O640" t="str">
        <f t="shared" si="19"/>
        <v>July</v>
      </c>
      <c r="P640" t="str">
        <f t="shared" si="18"/>
        <v>Middle-Aged</v>
      </c>
    </row>
    <row r="641" spans="1:16" x14ac:dyDescent="0.25">
      <c r="A641">
        <v>1640</v>
      </c>
      <c r="B641" s="1">
        <v>45251</v>
      </c>
      <c r="C641" t="s">
        <v>16</v>
      </c>
      <c r="D641" t="s">
        <v>59</v>
      </c>
      <c r="E641" s="3">
        <v>1132</v>
      </c>
      <c r="F641" s="3">
        <v>4</v>
      </c>
      <c r="G641" s="3">
        <v>4528</v>
      </c>
      <c r="H641" s="3">
        <v>19</v>
      </c>
      <c r="I641" t="s">
        <v>32</v>
      </c>
      <c r="J641" t="s">
        <v>60</v>
      </c>
      <c r="K641" t="s">
        <v>37</v>
      </c>
      <c r="L641" t="s">
        <v>28</v>
      </c>
      <c r="M641" s="2">
        <v>0.25</v>
      </c>
      <c r="N641" t="s">
        <v>22</v>
      </c>
      <c r="O641" t="str">
        <f t="shared" si="19"/>
        <v>November</v>
      </c>
      <c r="P641" t="str">
        <f t="shared" si="18"/>
        <v>Young Adult</v>
      </c>
    </row>
    <row r="642" spans="1:16" x14ac:dyDescent="0.25">
      <c r="A642">
        <v>1641</v>
      </c>
      <c r="B642" s="1">
        <v>45218</v>
      </c>
      <c r="C642" t="s">
        <v>35</v>
      </c>
      <c r="D642" t="s">
        <v>70</v>
      </c>
      <c r="E642" s="3">
        <v>319</v>
      </c>
      <c r="F642" s="3">
        <v>1</v>
      </c>
      <c r="G642" s="3">
        <v>319</v>
      </c>
      <c r="H642" s="3">
        <v>26</v>
      </c>
      <c r="I642" t="s">
        <v>18</v>
      </c>
      <c r="J642" t="s">
        <v>55</v>
      </c>
      <c r="K642" t="s">
        <v>37</v>
      </c>
      <c r="L642" t="s">
        <v>28</v>
      </c>
      <c r="M642" s="2">
        <v>0.25</v>
      </c>
      <c r="N642" t="s">
        <v>29</v>
      </c>
      <c r="O642" t="str">
        <f t="shared" si="19"/>
        <v>October</v>
      </c>
      <c r="P642" t="str">
        <f t="shared" ref="P642:P705" si="20">IF(H642&lt;13, "Child", IF(H642&lt;18, "Teen", IF(H642&lt;30, "Young Adult", IF(H642&lt;50, "Adult", IF(H642&lt;65, "Middle-Aged", "Senior")))))</f>
        <v>Young Adult</v>
      </c>
    </row>
    <row r="643" spans="1:16" x14ac:dyDescent="0.25">
      <c r="A643">
        <v>1642</v>
      </c>
      <c r="B643" s="1">
        <v>45035</v>
      </c>
      <c r="C643" t="s">
        <v>49</v>
      </c>
      <c r="D643" t="s">
        <v>66</v>
      </c>
      <c r="E643" s="3">
        <v>774</v>
      </c>
      <c r="F643" s="3">
        <v>5</v>
      </c>
      <c r="G643" s="3">
        <v>3870</v>
      </c>
      <c r="H643" s="3">
        <v>32</v>
      </c>
      <c r="I643" t="s">
        <v>18</v>
      </c>
      <c r="J643" t="s">
        <v>55</v>
      </c>
      <c r="K643" t="s">
        <v>20</v>
      </c>
      <c r="L643" t="s">
        <v>34</v>
      </c>
      <c r="M643" s="2">
        <v>0.05</v>
      </c>
      <c r="N643" t="s">
        <v>22</v>
      </c>
      <c r="O643" t="str">
        <f t="shared" ref="O643:O706" si="21">TEXT(B643, "MMMM")</f>
        <v>April</v>
      </c>
      <c r="P643" t="str">
        <f t="shared" si="20"/>
        <v>Adult</v>
      </c>
    </row>
    <row r="644" spans="1:16" x14ac:dyDescent="0.25">
      <c r="A644">
        <v>1643</v>
      </c>
      <c r="B644" s="1">
        <v>45144</v>
      </c>
      <c r="C644" t="s">
        <v>16</v>
      </c>
      <c r="D644" t="s">
        <v>71</v>
      </c>
      <c r="E644" s="3">
        <v>795</v>
      </c>
      <c r="F644" s="3">
        <v>1</v>
      </c>
      <c r="G644" s="3">
        <v>795</v>
      </c>
      <c r="H644" s="3">
        <v>59</v>
      </c>
      <c r="I644" t="s">
        <v>18</v>
      </c>
      <c r="J644" t="s">
        <v>48</v>
      </c>
      <c r="K644" t="s">
        <v>27</v>
      </c>
      <c r="L644" t="s">
        <v>28</v>
      </c>
      <c r="M644" s="2">
        <v>0.05</v>
      </c>
      <c r="N644" t="s">
        <v>22</v>
      </c>
      <c r="O644" t="str">
        <f t="shared" si="21"/>
        <v>August</v>
      </c>
      <c r="P644" t="str">
        <f t="shared" si="20"/>
        <v>Middle-Aged</v>
      </c>
    </row>
    <row r="645" spans="1:16" x14ac:dyDescent="0.25">
      <c r="A645">
        <v>1644</v>
      </c>
      <c r="B645" s="1">
        <v>44981</v>
      </c>
      <c r="C645" t="s">
        <v>49</v>
      </c>
      <c r="D645" t="s">
        <v>57</v>
      </c>
      <c r="E645" s="3">
        <v>272</v>
      </c>
      <c r="F645" s="3">
        <v>3</v>
      </c>
      <c r="G645" s="3">
        <v>816</v>
      </c>
      <c r="H645" s="3">
        <v>24</v>
      </c>
      <c r="I645" t="s">
        <v>32</v>
      </c>
      <c r="J645" t="s">
        <v>58</v>
      </c>
      <c r="K645" t="s">
        <v>27</v>
      </c>
      <c r="L645" t="s">
        <v>38</v>
      </c>
      <c r="M645" s="2">
        <v>0.05</v>
      </c>
      <c r="N645" t="s">
        <v>22</v>
      </c>
      <c r="O645" t="str">
        <f t="shared" si="21"/>
        <v>February</v>
      </c>
      <c r="P645" t="str">
        <f t="shared" si="20"/>
        <v>Young Adult</v>
      </c>
    </row>
    <row r="646" spans="1:16" x14ac:dyDescent="0.25">
      <c r="A646">
        <v>1645</v>
      </c>
      <c r="B646" s="1">
        <v>45055</v>
      </c>
      <c r="C646" t="s">
        <v>16</v>
      </c>
      <c r="D646" t="s">
        <v>62</v>
      </c>
      <c r="E646" s="3">
        <v>313</v>
      </c>
      <c r="F646" s="3">
        <v>5</v>
      </c>
      <c r="G646" s="3">
        <v>1565</v>
      </c>
      <c r="H646" s="3">
        <v>25</v>
      </c>
      <c r="I646" t="s">
        <v>18</v>
      </c>
      <c r="J646" t="s">
        <v>43</v>
      </c>
      <c r="K646" t="s">
        <v>45</v>
      </c>
      <c r="L646" t="s">
        <v>34</v>
      </c>
      <c r="M646" s="2">
        <v>0.3</v>
      </c>
      <c r="N646" t="s">
        <v>22</v>
      </c>
      <c r="O646" t="str">
        <f t="shared" si="21"/>
        <v>May</v>
      </c>
      <c r="P646" t="str">
        <f t="shared" si="20"/>
        <v>Young Adult</v>
      </c>
    </row>
    <row r="647" spans="1:16" x14ac:dyDescent="0.25">
      <c r="A647">
        <v>1646</v>
      </c>
      <c r="B647" s="1">
        <v>44968</v>
      </c>
      <c r="C647" t="s">
        <v>24</v>
      </c>
      <c r="D647" t="s">
        <v>80</v>
      </c>
      <c r="E647" s="3">
        <v>206</v>
      </c>
      <c r="F647" s="3">
        <v>2</v>
      </c>
      <c r="G647" s="3">
        <v>412</v>
      </c>
      <c r="H647" s="3">
        <v>57</v>
      </c>
      <c r="I647" t="s">
        <v>18</v>
      </c>
      <c r="J647" t="s">
        <v>41</v>
      </c>
      <c r="K647" t="s">
        <v>33</v>
      </c>
      <c r="L647" t="s">
        <v>21</v>
      </c>
      <c r="M647" s="2">
        <v>0.05</v>
      </c>
      <c r="N647" t="s">
        <v>22</v>
      </c>
      <c r="O647" t="str">
        <f t="shared" si="21"/>
        <v>February</v>
      </c>
      <c r="P647" t="str">
        <f t="shared" si="20"/>
        <v>Middle-Aged</v>
      </c>
    </row>
    <row r="648" spans="1:16" x14ac:dyDescent="0.25">
      <c r="A648">
        <v>1647</v>
      </c>
      <c r="B648" s="1">
        <v>45183</v>
      </c>
      <c r="C648" t="s">
        <v>39</v>
      </c>
      <c r="D648" t="s">
        <v>78</v>
      </c>
      <c r="E648" s="3">
        <v>516</v>
      </c>
      <c r="F648" s="3">
        <v>2</v>
      </c>
      <c r="G648" s="3">
        <v>1032</v>
      </c>
      <c r="H648" s="3">
        <v>57</v>
      </c>
      <c r="I648" t="s">
        <v>32</v>
      </c>
      <c r="J648" t="s">
        <v>51</v>
      </c>
      <c r="K648" t="s">
        <v>27</v>
      </c>
      <c r="L648" t="s">
        <v>34</v>
      </c>
      <c r="M648" s="2">
        <v>0.2</v>
      </c>
      <c r="N648" t="s">
        <v>22</v>
      </c>
      <c r="O648" t="str">
        <f t="shared" si="21"/>
        <v>September</v>
      </c>
      <c r="P648" t="str">
        <f t="shared" si="20"/>
        <v>Middle-Aged</v>
      </c>
    </row>
    <row r="649" spans="1:16" x14ac:dyDescent="0.25">
      <c r="A649">
        <v>1648</v>
      </c>
      <c r="B649" s="1">
        <v>45217</v>
      </c>
      <c r="C649" t="s">
        <v>16</v>
      </c>
      <c r="D649" t="s">
        <v>62</v>
      </c>
      <c r="E649" s="3">
        <v>903</v>
      </c>
      <c r="F649" s="3">
        <v>3</v>
      </c>
      <c r="G649" s="3">
        <v>2709</v>
      </c>
      <c r="H649" s="3">
        <v>42</v>
      </c>
      <c r="I649" t="s">
        <v>32</v>
      </c>
      <c r="J649" t="s">
        <v>63</v>
      </c>
      <c r="K649" t="s">
        <v>45</v>
      </c>
      <c r="L649" t="s">
        <v>21</v>
      </c>
      <c r="M649" s="2">
        <v>0.05</v>
      </c>
      <c r="N649" t="s">
        <v>22</v>
      </c>
      <c r="O649" t="str">
        <f t="shared" si="21"/>
        <v>October</v>
      </c>
      <c r="P649" t="str">
        <f t="shared" si="20"/>
        <v>Adult</v>
      </c>
    </row>
    <row r="650" spans="1:16" x14ac:dyDescent="0.25">
      <c r="A650">
        <v>1649</v>
      </c>
      <c r="B650" s="1">
        <v>45255</v>
      </c>
      <c r="C650" t="s">
        <v>16</v>
      </c>
      <c r="D650" t="s">
        <v>71</v>
      </c>
      <c r="E650" s="3">
        <v>366</v>
      </c>
      <c r="F650" s="3">
        <v>4</v>
      </c>
      <c r="G650" s="3">
        <v>1464</v>
      </c>
      <c r="H650" s="3">
        <v>54</v>
      </c>
      <c r="I650" t="s">
        <v>18</v>
      </c>
      <c r="J650" t="s">
        <v>48</v>
      </c>
      <c r="K650" t="s">
        <v>37</v>
      </c>
      <c r="L650" t="s">
        <v>34</v>
      </c>
      <c r="M650" s="2">
        <v>0.1</v>
      </c>
      <c r="N650" t="s">
        <v>29</v>
      </c>
      <c r="O650" t="str">
        <f t="shared" si="21"/>
        <v>November</v>
      </c>
      <c r="P650" t="str">
        <f t="shared" si="20"/>
        <v>Middle-Aged</v>
      </c>
    </row>
    <row r="651" spans="1:16" x14ac:dyDescent="0.25">
      <c r="A651">
        <v>1650</v>
      </c>
      <c r="B651" s="1">
        <v>45119</v>
      </c>
      <c r="C651" t="s">
        <v>24</v>
      </c>
      <c r="D651" t="s">
        <v>54</v>
      </c>
      <c r="E651" s="3">
        <v>998</v>
      </c>
      <c r="F651" s="3">
        <v>2</v>
      </c>
      <c r="G651" s="3">
        <v>1996</v>
      </c>
      <c r="H651" s="3">
        <v>47</v>
      </c>
      <c r="I651" t="s">
        <v>32</v>
      </c>
      <c r="J651" t="s">
        <v>63</v>
      </c>
      <c r="K651" t="s">
        <v>42</v>
      </c>
      <c r="L651" t="s">
        <v>28</v>
      </c>
      <c r="M651" s="2">
        <v>0.2</v>
      </c>
      <c r="N651" t="s">
        <v>22</v>
      </c>
      <c r="O651" t="str">
        <f t="shared" si="21"/>
        <v>July</v>
      </c>
      <c r="P651" t="str">
        <f t="shared" si="20"/>
        <v>Adult</v>
      </c>
    </row>
    <row r="652" spans="1:16" x14ac:dyDescent="0.25">
      <c r="A652">
        <v>1651</v>
      </c>
      <c r="B652" s="1">
        <v>45022</v>
      </c>
      <c r="C652" t="s">
        <v>24</v>
      </c>
      <c r="D652" t="s">
        <v>25</v>
      </c>
      <c r="E652" s="3">
        <v>1187</v>
      </c>
      <c r="F652" s="3">
        <v>3</v>
      </c>
      <c r="G652" s="3">
        <v>3561</v>
      </c>
      <c r="H652" s="3">
        <v>36</v>
      </c>
      <c r="I652" t="s">
        <v>32</v>
      </c>
      <c r="J652" t="s">
        <v>60</v>
      </c>
      <c r="K652" t="s">
        <v>42</v>
      </c>
      <c r="L652" t="s">
        <v>34</v>
      </c>
      <c r="M652" s="2">
        <v>0.25</v>
      </c>
      <c r="N652" t="s">
        <v>29</v>
      </c>
      <c r="O652" t="str">
        <f t="shared" si="21"/>
        <v>April</v>
      </c>
      <c r="P652" t="str">
        <f t="shared" si="20"/>
        <v>Adult</v>
      </c>
    </row>
    <row r="653" spans="1:16" x14ac:dyDescent="0.25">
      <c r="A653">
        <v>1652</v>
      </c>
      <c r="B653" s="1">
        <v>45207</v>
      </c>
      <c r="C653" t="s">
        <v>35</v>
      </c>
      <c r="D653" t="s">
        <v>75</v>
      </c>
      <c r="E653" s="3">
        <v>1278</v>
      </c>
      <c r="F653" s="3">
        <v>2</v>
      </c>
      <c r="G653" s="3">
        <v>2556</v>
      </c>
      <c r="H653" s="3">
        <v>20</v>
      </c>
      <c r="I653" t="s">
        <v>18</v>
      </c>
      <c r="J653" t="s">
        <v>48</v>
      </c>
      <c r="K653" t="s">
        <v>33</v>
      </c>
      <c r="L653" t="s">
        <v>38</v>
      </c>
      <c r="M653" s="2">
        <v>0.3</v>
      </c>
      <c r="N653" t="s">
        <v>29</v>
      </c>
      <c r="O653" t="str">
        <f t="shared" si="21"/>
        <v>October</v>
      </c>
      <c r="P653" t="str">
        <f t="shared" si="20"/>
        <v>Young Adult</v>
      </c>
    </row>
    <row r="654" spans="1:16" x14ac:dyDescent="0.25">
      <c r="A654">
        <v>1653</v>
      </c>
      <c r="B654" s="1">
        <v>45187</v>
      </c>
      <c r="C654" t="s">
        <v>52</v>
      </c>
      <c r="D654" t="s">
        <v>73</v>
      </c>
      <c r="E654" s="3">
        <v>1415</v>
      </c>
      <c r="F654" s="3">
        <v>2</v>
      </c>
      <c r="G654" s="3">
        <v>2830</v>
      </c>
      <c r="H654" s="3">
        <v>44</v>
      </c>
      <c r="I654" t="s">
        <v>32</v>
      </c>
      <c r="J654" t="s">
        <v>43</v>
      </c>
      <c r="K654" t="s">
        <v>27</v>
      </c>
      <c r="L654" t="s">
        <v>28</v>
      </c>
      <c r="M654" s="2">
        <v>0.25</v>
      </c>
      <c r="N654" t="s">
        <v>29</v>
      </c>
      <c r="O654" t="str">
        <f t="shared" si="21"/>
        <v>September</v>
      </c>
      <c r="P654" t="str">
        <f t="shared" si="20"/>
        <v>Adult</v>
      </c>
    </row>
    <row r="655" spans="1:16" x14ac:dyDescent="0.25">
      <c r="A655">
        <v>1654</v>
      </c>
      <c r="B655" s="1">
        <v>45248</v>
      </c>
      <c r="C655" t="s">
        <v>35</v>
      </c>
      <c r="D655" t="s">
        <v>75</v>
      </c>
      <c r="E655" s="3">
        <v>110</v>
      </c>
      <c r="F655" s="3">
        <v>3</v>
      </c>
      <c r="G655" s="3">
        <v>330</v>
      </c>
      <c r="H655" s="3">
        <v>41</v>
      </c>
      <c r="I655" t="s">
        <v>32</v>
      </c>
      <c r="J655" t="s">
        <v>51</v>
      </c>
      <c r="K655" t="s">
        <v>27</v>
      </c>
      <c r="L655" t="s">
        <v>21</v>
      </c>
      <c r="M655" s="2">
        <v>0.05</v>
      </c>
      <c r="N655" t="s">
        <v>29</v>
      </c>
      <c r="O655" t="str">
        <f t="shared" si="21"/>
        <v>November</v>
      </c>
      <c r="P655" t="str">
        <f t="shared" si="20"/>
        <v>Adult</v>
      </c>
    </row>
    <row r="656" spans="1:16" x14ac:dyDescent="0.25">
      <c r="A656">
        <v>1655</v>
      </c>
      <c r="B656" s="1">
        <v>45253</v>
      </c>
      <c r="C656" t="s">
        <v>49</v>
      </c>
      <c r="D656" t="s">
        <v>81</v>
      </c>
      <c r="E656" s="3">
        <v>670</v>
      </c>
      <c r="F656" s="3">
        <v>2</v>
      </c>
      <c r="G656" s="3">
        <v>1340</v>
      </c>
      <c r="H656" s="3">
        <v>33</v>
      </c>
      <c r="I656" t="s">
        <v>18</v>
      </c>
      <c r="J656" t="s">
        <v>51</v>
      </c>
      <c r="K656" t="s">
        <v>42</v>
      </c>
      <c r="L656" t="s">
        <v>47</v>
      </c>
      <c r="M656" s="2">
        <v>0.2</v>
      </c>
      <c r="N656" t="s">
        <v>29</v>
      </c>
      <c r="O656" t="str">
        <f t="shared" si="21"/>
        <v>November</v>
      </c>
      <c r="P656" t="str">
        <f t="shared" si="20"/>
        <v>Adult</v>
      </c>
    </row>
    <row r="657" spans="1:16" x14ac:dyDescent="0.25">
      <c r="A657">
        <v>1656</v>
      </c>
      <c r="B657" s="1">
        <v>45019</v>
      </c>
      <c r="C657" t="s">
        <v>16</v>
      </c>
      <c r="D657" t="s">
        <v>59</v>
      </c>
      <c r="E657" s="3">
        <v>1275</v>
      </c>
      <c r="F657" s="3">
        <v>2</v>
      </c>
      <c r="G657" s="3">
        <v>2550</v>
      </c>
      <c r="H657" s="3">
        <v>53</v>
      </c>
      <c r="I657" t="s">
        <v>18</v>
      </c>
      <c r="J657" t="s">
        <v>60</v>
      </c>
      <c r="K657" t="s">
        <v>37</v>
      </c>
      <c r="L657" t="s">
        <v>34</v>
      </c>
      <c r="M657" s="2">
        <v>0.1</v>
      </c>
      <c r="N657" t="s">
        <v>29</v>
      </c>
      <c r="O657" t="str">
        <f t="shared" si="21"/>
        <v>April</v>
      </c>
      <c r="P657" t="str">
        <f t="shared" si="20"/>
        <v>Middle-Aged</v>
      </c>
    </row>
    <row r="658" spans="1:16" x14ac:dyDescent="0.25">
      <c r="A658">
        <v>1657</v>
      </c>
      <c r="B658" s="1">
        <v>45152</v>
      </c>
      <c r="C658" t="s">
        <v>52</v>
      </c>
      <c r="D658" t="s">
        <v>67</v>
      </c>
      <c r="E658" s="3">
        <v>394</v>
      </c>
      <c r="F658" s="3">
        <v>3</v>
      </c>
      <c r="G658" s="3">
        <v>1182</v>
      </c>
      <c r="H658" s="3">
        <v>40</v>
      </c>
      <c r="I658" t="s">
        <v>32</v>
      </c>
      <c r="J658" t="s">
        <v>58</v>
      </c>
      <c r="K658" t="s">
        <v>42</v>
      </c>
      <c r="L658" t="s">
        <v>47</v>
      </c>
      <c r="M658" s="2">
        <v>0.3</v>
      </c>
      <c r="N658" t="s">
        <v>29</v>
      </c>
      <c r="O658" t="str">
        <f t="shared" si="21"/>
        <v>August</v>
      </c>
      <c r="P658" t="str">
        <f t="shared" si="20"/>
        <v>Adult</v>
      </c>
    </row>
    <row r="659" spans="1:16" x14ac:dyDescent="0.25">
      <c r="A659">
        <v>1658</v>
      </c>
      <c r="B659" s="1">
        <v>45327</v>
      </c>
      <c r="C659" t="s">
        <v>49</v>
      </c>
      <c r="D659" t="s">
        <v>66</v>
      </c>
      <c r="E659" s="3">
        <v>533</v>
      </c>
      <c r="F659" s="3">
        <v>1</v>
      </c>
      <c r="G659" s="3">
        <v>533</v>
      </c>
      <c r="H659" s="3">
        <v>48</v>
      </c>
      <c r="I659" t="s">
        <v>32</v>
      </c>
      <c r="J659" t="s">
        <v>60</v>
      </c>
      <c r="K659" t="s">
        <v>33</v>
      </c>
      <c r="L659" t="s">
        <v>47</v>
      </c>
      <c r="M659" s="2">
        <v>0.25</v>
      </c>
      <c r="N659" t="s">
        <v>22</v>
      </c>
      <c r="O659" t="str">
        <f t="shared" si="21"/>
        <v>February</v>
      </c>
      <c r="P659" t="str">
        <f t="shared" si="20"/>
        <v>Adult</v>
      </c>
    </row>
    <row r="660" spans="1:16" x14ac:dyDescent="0.25">
      <c r="A660">
        <v>1659</v>
      </c>
      <c r="B660" s="1">
        <v>45246</v>
      </c>
      <c r="C660" t="s">
        <v>39</v>
      </c>
      <c r="D660" t="s">
        <v>40</v>
      </c>
      <c r="E660" s="3">
        <v>142</v>
      </c>
      <c r="F660" s="3">
        <v>3</v>
      </c>
      <c r="G660" s="3">
        <v>426</v>
      </c>
      <c r="H660" s="3">
        <v>38</v>
      </c>
      <c r="I660" t="s">
        <v>18</v>
      </c>
      <c r="J660" t="s">
        <v>63</v>
      </c>
      <c r="K660" t="s">
        <v>45</v>
      </c>
      <c r="L660" t="s">
        <v>34</v>
      </c>
      <c r="M660" s="2">
        <v>0.05</v>
      </c>
      <c r="N660" t="s">
        <v>29</v>
      </c>
      <c r="O660" t="str">
        <f t="shared" si="21"/>
        <v>November</v>
      </c>
      <c r="P660" t="str">
        <f t="shared" si="20"/>
        <v>Adult</v>
      </c>
    </row>
    <row r="661" spans="1:16" x14ac:dyDescent="0.25">
      <c r="A661">
        <v>1660</v>
      </c>
      <c r="B661" s="1">
        <v>45088</v>
      </c>
      <c r="C661" t="s">
        <v>49</v>
      </c>
      <c r="D661" t="s">
        <v>64</v>
      </c>
      <c r="E661" s="3">
        <v>606</v>
      </c>
      <c r="F661" s="3">
        <v>1</v>
      </c>
      <c r="G661" s="3">
        <v>606</v>
      </c>
      <c r="H661" s="3">
        <v>22</v>
      </c>
      <c r="I661" t="s">
        <v>18</v>
      </c>
      <c r="J661" t="s">
        <v>41</v>
      </c>
      <c r="K661" t="s">
        <v>42</v>
      </c>
      <c r="L661" t="s">
        <v>28</v>
      </c>
      <c r="M661" s="2">
        <v>0.3</v>
      </c>
      <c r="N661" t="s">
        <v>22</v>
      </c>
      <c r="O661" t="str">
        <f t="shared" si="21"/>
        <v>June</v>
      </c>
      <c r="P661" t="str">
        <f t="shared" si="20"/>
        <v>Young Adult</v>
      </c>
    </row>
    <row r="662" spans="1:16" x14ac:dyDescent="0.25">
      <c r="A662">
        <v>1661</v>
      </c>
      <c r="B662" s="1">
        <v>45142</v>
      </c>
      <c r="C662" t="s">
        <v>24</v>
      </c>
      <c r="D662" t="s">
        <v>80</v>
      </c>
      <c r="E662" s="3">
        <v>631</v>
      </c>
      <c r="F662" s="3">
        <v>4</v>
      </c>
      <c r="G662" s="3">
        <v>2524</v>
      </c>
      <c r="H662" s="3">
        <v>24</v>
      </c>
      <c r="I662" t="s">
        <v>32</v>
      </c>
      <c r="J662" t="s">
        <v>60</v>
      </c>
      <c r="K662" t="s">
        <v>42</v>
      </c>
      <c r="L662" t="s">
        <v>34</v>
      </c>
      <c r="M662" s="2">
        <v>0.2</v>
      </c>
      <c r="N662" t="s">
        <v>29</v>
      </c>
      <c r="O662" t="str">
        <f t="shared" si="21"/>
        <v>August</v>
      </c>
      <c r="P662" t="str">
        <f t="shared" si="20"/>
        <v>Young Adult</v>
      </c>
    </row>
    <row r="663" spans="1:16" x14ac:dyDescent="0.25">
      <c r="A663">
        <v>1662</v>
      </c>
      <c r="B663" s="1">
        <v>45045</v>
      </c>
      <c r="C663" t="s">
        <v>39</v>
      </c>
      <c r="D663" t="s">
        <v>40</v>
      </c>
      <c r="E663" s="3">
        <v>1179</v>
      </c>
      <c r="F663" s="3">
        <v>4</v>
      </c>
      <c r="G663" s="3">
        <v>4716</v>
      </c>
      <c r="H663" s="3">
        <v>25</v>
      </c>
      <c r="I663" t="s">
        <v>32</v>
      </c>
      <c r="J663" t="s">
        <v>55</v>
      </c>
      <c r="K663" t="s">
        <v>33</v>
      </c>
      <c r="L663" t="s">
        <v>34</v>
      </c>
      <c r="M663" s="2">
        <v>0.2</v>
      </c>
      <c r="N663" t="s">
        <v>22</v>
      </c>
      <c r="O663" t="str">
        <f t="shared" si="21"/>
        <v>April</v>
      </c>
      <c r="P663" t="str">
        <f t="shared" si="20"/>
        <v>Young Adult</v>
      </c>
    </row>
    <row r="664" spans="1:16" x14ac:dyDescent="0.25">
      <c r="A664">
        <v>1663</v>
      </c>
      <c r="B664" s="1">
        <v>45308</v>
      </c>
      <c r="C664" t="s">
        <v>49</v>
      </c>
      <c r="D664" t="s">
        <v>50</v>
      </c>
      <c r="E664" s="3">
        <v>1422</v>
      </c>
      <c r="F664" s="3">
        <v>4</v>
      </c>
      <c r="G664" s="3">
        <v>5688</v>
      </c>
      <c r="H664" s="3">
        <v>36</v>
      </c>
      <c r="I664" t="s">
        <v>18</v>
      </c>
      <c r="J664" t="s">
        <v>60</v>
      </c>
      <c r="K664" t="s">
        <v>42</v>
      </c>
      <c r="L664" t="s">
        <v>34</v>
      </c>
      <c r="M664" s="2">
        <v>0.3</v>
      </c>
      <c r="N664" t="s">
        <v>22</v>
      </c>
      <c r="O664" t="str">
        <f t="shared" si="21"/>
        <v>January</v>
      </c>
      <c r="P664" t="str">
        <f t="shared" si="20"/>
        <v>Adult</v>
      </c>
    </row>
    <row r="665" spans="1:16" x14ac:dyDescent="0.25">
      <c r="A665">
        <v>1664</v>
      </c>
      <c r="B665" s="1">
        <v>45119</v>
      </c>
      <c r="C665" t="s">
        <v>30</v>
      </c>
      <c r="D665" t="s">
        <v>69</v>
      </c>
      <c r="E665" s="3">
        <v>1009</v>
      </c>
      <c r="F665" s="3">
        <v>3</v>
      </c>
      <c r="G665" s="3">
        <v>3027</v>
      </c>
      <c r="H665" s="3">
        <v>44</v>
      </c>
      <c r="I665" t="s">
        <v>32</v>
      </c>
      <c r="J665" t="s">
        <v>63</v>
      </c>
      <c r="K665" t="s">
        <v>37</v>
      </c>
      <c r="L665" t="s">
        <v>28</v>
      </c>
      <c r="M665" s="2">
        <v>0.3</v>
      </c>
      <c r="N665" t="s">
        <v>29</v>
      </c>
      <c r="O665" t="str">
        <f t="shared" si="21"/>
        <v>July</v>
      </c>
      <c r="P665" t="str">
        <f t="shared" si="20"/>
        <v>Adult</v>
      </c>
    </row>
    <row r="666" spans="1:16" x14ac:dyDescent="0.25">
      <c r="A666">
        <v>1665</v>
      </c>
      <c r="B666" s="1">
        <v>45075</v>
      </c>
      <c r="C666" t="s">
        <v>24</v>
      </c>
      <c r="D666" t="s">
        <v>54</v>
      </c>
      <c r="E666" s="3">
        <v>220</v>
      </c>
      <c r="F666" s="3">
        <v>1</v>
      </c>
      <c r="G666" s="3">
        <v>220</v>
      </c>
      <c r="H666" s="3">
        <v>42</v>
      </c>
      <c r="I666" t="s">
        <v>32</v>
      </c>
      <c r="J666" t="s">
        <v>58</v>
      </c>
      <c r="K666" t="s">
        <v>42</v>
      </c>
      <c r="L666" t="s">
        <v>28</v>
      </c>
      <c r="M666" s="2">
        <v>0.25</v>
      </c>
      <c r="N666" t="s">
        <v>29</v>
      </c>
      <c r="O666" t="str">
        <f t="shared" si="21"/>
        <v>May</v>
      </c>
      <c r="P666" t="str">
        <f t="shared" si="20"/>
        <v>Adult</v>
      </c>
    </row>
    <row r="667" spans="1:16" x14ac:dyDescent="0.25">
      <c r="A667">
        <v>1666</v>
      </c>
      <c r="B667" s="1">
        <v>45211</v>
      </c>
      <c r="C667" t="s">
        <v>39</v>
      </c>
      <c r="D667" t="s">
        <v>68</v>
      </c>
      <c r="E667" s="3">
        <v>386</v>
      </c>
      <c r="F667" s="3">
        <v>2</v>
      </c>
      <c r="G667" s="3">
        <v>772</v>
      </c>
      <c r="H667" s="3">
        <v>33</v>
      </c>
      <c r="I667" t="s">
        <v>32</v>
      </c>
      <c r="J667" t="s">
        <v>58</v>
      </c>
      <c r="K667" t="s">
        <v>45</v>
      </c>
      <c r="L667" t="s">
        <v>28</v>
      </c>
      <c r="M667" s="2">
        <v>0.3</v>
      </c>
      <c r="N667" t="s">
        <v>29</v>
      </c>
      <c r="O667" t="str">
        <f t="shared" si="21"/>
        <v>October</v>
      </c>
      <c r="P667" t="str">
        <f t="shared" si="20"/>
        <v>Adult</v>
      </c>
    </row>
    <row r="668" spans="1:16" x14ac:dyDescent="0.25">
      <c r="A668">
        <v>1667</v>
      </c>
      <c r="B668" s="1">
        <v>45060</v>
      </c>
      <c r="C668" t="s">
        <v>24</v>
      </c>
      <c r="D668" t="s">
        <v>80</v>
      </c>
      <c r="E668" s="3">
        <v>272</v>
      </c>
      <c r="F668" s="3">
        <v>2</v>
      </c>
      <c r="G668" s="3">
        <v>544</v>
      </c>
      <c r="H668" s="3">
        <v>18</v>
      </c>
      <c r="I668" t="s">
        <v>18</v>
      </c>
      <c r="J668" t="s">
        <v>48</v>
      </c>
      <c r="K668" t="s">
        <v>45</v>
      </c>
      <c r="L668" t="s">
        <v>21</v>
      </c>
      <c r="M668" s="2">
        <v>0.1</v>
      </c>
      <c r="N668" t="s">
        <v>29</v>
      </c>
      <c r="O668" t="str">
        <f t="shared" si="21"/>
        <v>May</v>
      </c>
      <c r="P668" t="str">
        <f t="shared" si="20"/>
        <v>Young Adult</v>
      </c>
    </row>
    <row r="669" spans="1:16" x14ac:dyDescent="0.25">
      <c r="A669">
        <v>1668</v>
      </c>
      <c r="B669" s="1">
        <v>45120</v>
      </c>
      <c r="C669" t="s">
        <v>52</v>
      </c>
      <c r="D669" t="s">
        <v>65</v>
      </c>
      <c r="E669" s="3">
        <v>1008</v>
      </c>
      <c r="F669" s="3">
        <v>1</v>
      </c>
      <c r="G669" s="3">
        <v>1008</v>
      </c>
      <c r="H669" s="3">
        <v>36</v>
      </c>
      <c r="I669" t="s">
        <v>18</v>
      </c>
      <c r="J669" t="s">
        <v>60</v>
      </c>
      <c r="K669" t="s">
        <v>42</v>
      </c>
      <c r="L669" t="s">
        <v>34</v>
      </c>
      <c r="M669" s="2">
        <v>0.15</v>
      </c>
      <c r="N669" t="s">
        <v>29</v>
      </c>
      <c r="O669" t="str">
        <f t="shared" si="21"/>
        <v>July</v>
      </c>
      <c r="P669" t="str">
        <f t="shared" si="20"/>
        <v>Adult</v>
      </c>
    </row>
    <row r="670" spans="1:16" x14ac:dyDescent="0.25">
      <c r="A670">
        <v>1669</v>
      </c>
      <c r="B670" s="1">
        <v>45070</v>
      </c>
      <c r="C670" t="s">
        <v>52</v>
      </c>
      <c r="D670" t="s">
        <v>67</v>
      </c>
      <c r="E670" s="3">
        <v>297</v>
      </c>
      <c r="F670" s="3">
        <v>4</v>
      </c>
      <c r="G670" s="3">
        <v>1188</v>
      </c>
      <c r="H670" s="3">
        <v>50</v>
      </c>
      <c r="I670" t="s">
        <v>32</v>
      </c>
      <c r="J670" t="s">
        <v>63</v>
      </c>
      <c r="K670" t="s">
        <v>20</v>
      </c>
      <c r="L670" t="s">
        <v>28</v>
      </c>
      <c r="M670" s="2">
        <v>0.3</v>
      </c>
      <c r="N670" t="s">
        <v>22</v>
      </c>
      <c r="O670" t="str">
        <f t="shared" si="21"/>
        <v>May</v>
      </c>
      <c r="P670" t="str">
        <f t="shared" si="20"/>
        <v>Middle-Aged</v>
      </c>
    </row>
    <row r="671" spans="1:16" x14ac:dyDescent="0.25">
      <c r="A671">
        <v>1670</v>
      </c>
      <c r="B671" s="1">
        <v>45113</v>
      </c>
      <c r="C671" t="s">
        <v>49</v>
      </c>
      <c r="D671" t="s">
        <v>50</v>
      </c>
      <c r="E671" s="3">
        <v>179</v>
      </c>
      <c r="F671" s="3">
        <v>4</v>
      </c>
      <c r="G671" s="3">
        <v>716</v>
      </c>
      <c r="H671" s="3">
        <v>21</v>
      </c>
      <c r="I671" t="s">
        <v>18</v>
      </c>
      <c r="J671" t="s">
        <v>26</v>
      </c>
      <c r="K671" t="s">
        <v>27</v>
      </c>
      <c r="L671" t="s">
        <v>47</v>
      </c>
      <c r="M671" s="2">
        <v>0.1</v>
      </c>
      <c r="N671" t="s">
        <v>29</v>
      </c>
      <c r="O671" t="str">
        <f t="shared" si="21"/>
        <v>July</v>
      </c>
      <c r="P671" t="str">
        <f t="shared" si="20"/>
        <v>Young Adult</v>
      </c>
    </row>
    <row r="672" spans="1:16" x14ac:dyDescent="0.25">
      <c r="A672">
        <v>1671</v>
      </c>
      <c r="B672" s="1">
        <v>45038</v>
      </c>
      <c r="C672" t="s">
        <v>30</v>
      </c>
      <c r="D672" t="s">
        <v>44</v>
      </c>
      <c r="E672" s="3">
        <v>431</v>
      </c>
      <c r="F672" s="3">
        <v>4</v>
      </c>
      <c r="G672" s="3">
        <v>1724</v>
      </c>
      <c r="H672" s="3">
        <v>24</v>
      </c>
      <c r="I672" t="s">
        <v>18</v>
      </c>
      <c r="J672" t="s">
        <v>19</v>
      </c>
      <c r="K672" t="s">
        <v>37</v>
      </c>
      <c r="L672" t="s">
        <v>47</v>
      </c>
      <c r="M672" s="2">
        <v>0.15</v>
      </c>
      <c r="N672" t="s">
        <v>22</v>
      </c>
      <c r="O672" t="str">
        <f t="shared" si="21"/>
        <v>April</v>
      </c>
      <c r="P672" t="str">
        <f t="shared" si="20"/>
        <v>Young Adult</v>
      </c>
    </row>
    <row r="673" spans="1:16" x14ac:dyDescent="0.25">
      <c r="A673">
        <v>1672</v>
      </c>
      <c r="B673" s="1">
        <v>45288</v>
      </c>
      <c r="C673" t="s">
        <v>35</v>
      </c>
      <c r="D673" t="s">
        <v>75</v>
      </c>
      <c r="E673" s="3">
        <v>220</v>
      </c>
      <c r="F673" s="3">
        <v>1</v>
      </c>
      <c r="G673" s="3">
        <v>220</v>
      </c>
      <c r="H673" s="3">
        <v>28</v>
      </c>
      <c r="I673" t="s">
        <v>32</v>
      </c>
      <c r="J673" t="s">
        <v>26</v>
      </c>
      <c r="K673" t="s">
        <v>45</v>
      </c>
      <c r="L673" t="s">
        <v>38</v>
      </c>
      <c r="M673" s="2">
        <v>0.2</v>
      </c>
      <c r="N673" t="s">
        <v>29</v>
      </c>
      <c r="O673" t="str">
        <f t="shared" si="21"/>
        <v>December</v>
      </c>
      <c r="P673" t="str">
        <f t="shared" si="20"/>
        <v>Young Adult</v>
      </c>
    </row>
    <row r="674" spans="1:16" x14ac:dyDescent="0.25">
      <c r="A674">
        <v>1673</v>
      </c>
      <c r="B674" s="1">
        <v>45245</v>
      </c>
      <c r="C674" t="s">
        <v>52</v>
      </c>
      <c r="D674" t="s">
        <v>65</v>
      </c>
      <c r="E674" s="3">
        <v>1366</v>
      </c>
      <c r="F674" s="3">
        <v>3</v>
      </c>
      <c r="G674" s="3">
        <v>4098</v>
      </c>
      <c r="H674" s="3">
        <v>23</v>
      </c>
      <c r="I674" t="s">
        <v>32</v>
      </c>
      <c r="J674" t="s">
        <v>48</v>
      </c>
      <c r="K674" t="s">
        <v>20</v>
      </c>
      <c r="L674" t="s">
        <v>34</v>
      </c>
      <c r="M674" s="2">
        <v>0.2</v>
      </c>
      <c r="N674" t="s">
        <v>22</v>
      </c>
      <c r="O674" t="str">
        <f t="shared" si="21"/>
        <v>November</v>
      </c>
      <c r="P674" t="str">
        <f t="shared" si="20"/>
        <v>Young Adult</v>
      </c>
    </row>
    <row r="675" spans="1:16" x14ac:dyDescent="0.25">
      <c r="A675">
        <v>1674</v>
      </c>
      <c r="B675" s="1">
        <v>45305</v>
      </c>
      <c r="C675" t="s">
        <v>35</v>
      </c>
      <c r="D675" t="s">
        <v>70</v>
      </c>
      <c r="E675" s="3">
        <v>153</v>
      </c>
      <c r="F675" s="3">
        <v>4</v>
      </c>
      <c r="G675" s="3">
        <v>612</v>
      </c>
      <c r="H675" s="3">
        <v>38</v>
      </c>
      <c r="I675" t="s">
        <v>18</v>
      </c>
      <c r="J675" t="s">
        <v>19</v>
      </c>
      <c r="K675" t="s">
        <v>27</v>
      </c>
      <c r="L675" t="s">
        <v>47</v>
      </c>
      <c r="M675" s="2">
        <v>0.25</v>
      </c>
      <c r="N675" t="s">
        <v>29</v>
      </c>
      <c r="O675" t="str">
        <f t="shared" si="21"/>
        <v>January</v>
      </c>
      <c r="P675" t="str">
        <f t="shared" si="20"/>
        <v>Adult</v>
      </c>
    </row>
    <row r="676" spans="1:16" x14ac:dyDescent="0.25">
      <c r="A676">
        <v>1675</v>
      </c>
      <c r="B676" s="1">
        <v>45163</v>
      </c>
      <c r="C676" t="s">
        <v>52</v>
      </c>
      <c r="D676" t="s">
        <v>82</v>
      </c>
      <c r="E676" s="3">
        <v>1262</v>
      </c>
      <c r="F676" s="3">
        <v>5</v>
      </c>
      <c r="G676" s="3">
        <v>6310</v>
      </c>
      <c r="H676" s="3">
        <v>55</v>
      </c>
      <c r="I676" t="s">
        <v>18</v>
      </c>
      <c r="J676" t="s">
        <v>48</v>
      </c>
      <c r="K676" t="s">
        <v>27</v>
      </c>
      <c r="L676" t="s">
        <v>38</v>
      </c>
      <c r="M676" s="2">
        <v>0.15</v>
      </c>
      <c r="N676" t="s">
        <v>29</v>
      </c>
      <c r="O676" t="str">
        <f t="shared" si="21"/>
        <v>August</v>
      </c>
      <c r="P676" t="str">
        <f t="shared" si="20"/>
        <v>Middle-Aged</v>
      </c>
    </row>
    <row r="677" spans="1:16" x14ac:dyDescent="0.25">
      <c r="A677">
        <v>1676</v>
      </c>
      <c r="B677" s="1">
        <v>44950</v>
      </c>
      <c r="C677" t="s">
        <v>49</v>
      </c>
      <c r="D677" t="s">
        <v>81</v>
      </c>
      <c r="E677" s="3">
        <v>141</v>
      </c>
      <c r="F677" s="3">
        <v>1</v>
      </c>
      <c r="G677" s="3">
        <v>141</v>
      </c>
      <c r="H677" s="3">
        <v>35</v>
      </c>
      <c r="I677" t="s">
        <v>32</v>
      </c>
      <c r="J677" t="s">
        <v>51</v>
      </c>
      <c r="K677" t="s">
        <v>20</v>
      </c>
      <c r="L677" t="s">
        <v>21</v>
      </c>
      <c r="M677" s="2">
        <v>0.2</v>
      </c>
      <c r="N677" t="s">
        <v>22</v>
      </c>
      <c r="O677" t="str">
        <f t="shared" si="21"/>
        <v>January</v>
      </c>
      <c r="P677" t="str">
        <f t="shared" si="20"/>
        <v>Adult</v>
      </c>
    </row>
    <row r="678" spans="1:16" x14ac:dyDescent="0.25">
      <c r="A678">
        <v>1677</v>
      </c>
      <c r="B678" s="1">
        <v>44965</v>
      </c>
      <c r="C678" t="s">
        <v>52</v>
      </c>
      <c r="D678" t="s">
        <v>73</v>
      </c>
      <c r="E678" s="3">
        <v>1002</v>
      </c>
      <c r="F678" s="3">
        <v>3</v>
      </c>
      <c r="G678" s="3">
        <v>3006</v>
      </c>
      <c r="H678" s="3">
        <v>49</v>
      </c>
      <c r="I678" t="s">
        <v>32</v>
      </c>
      <c r="J678" t="s">
        <v>63</v>
      </c>
      <c r="K678" t="s">
        <v>37</v>
      </c>
      <c r="L678" t="s">
        <v>28</v>
      </c>
      <c r="M678" s="2">
        <v>0.15</v>
      </c>
      <c r="N678" t="s">
        <v>22</v>
      </c>
      <c r="O678" t="str">
        <f t="shared" si="21"/>
        <v>February</v>
      </c>
      <c r="P678" t="str">
        <f t="shared" si="20"/>
        <v>Adult</v>
      </c>
    </row>
    <row r="679" spans="1:16" x14ac:dyDescent="0.25">
      <c r="A679">
        <v>1678</v>
      </c>
      <c r="B679" s="1">
        <v>45238</v>
      </c>
      <c r="C679" t="s">
        <v>30</v>
      </c>
      <c r="D679" t="s">
        <v>79</v>
      </c>
      <c r="E679" s="3">
        <v>1451</v>
      </c>
      <c r="F679" s="3">
        <v>4</v>
      </c>
      <c r="G679" s="3">
        <v>5804</v>
      </c>
      <c r="H679" s="3">
        <v>60</v>
      </c>
      <c r="I679" t="s">
        <v>32</v>
      </c>
      <c r="J679" t="s">
        <v>43</v>
      </c>
      <c r="K679" t="s">
        <v>45</v>
      </c>
      <c r="L679" t="s">
        <v>21</v>
      </c>
      <c r="M679" s="2">
        <v>0.1</v>
      </c>
      <c r="N679" t="s">
        <v>22</v>
      </c>
      <c r="O679" t="str">
        <f t="shared" si="21"/>
        <v>November</v>
      </c>
      <c r="P679" t="str">
        <f t="shared" si="20"/>
        <v>Middle-Aged</v>
      </c>
    </row>
    <row r="680" spans="1:16" x14ac:dyDescent="0.25">
      <c r="A680">
        <v>1679</v>
      </c>
      <c r="B680" s="1">
        <v>45107</v>
      </c>
      <c r="C680" t="s">
        <v>52</v>
      </c>
      <c r="D680" t="s">
        <v>67</v>
      </c>
      <c r="E680" s="3">
        <v>1059</v>
      </c>
      <c r="F680" s="3">
        <v>1</v>
      </c>
      <c r="G680" s="3">
        <v>1059</v>
      </c>
      <c r="H680" s="3">
        <v>47</v>
      </c>
      <c r="I680" t="s">
        <v>32</v>
      </c>
      <c r="J680" t="s">
        <v>55</v>
      </c>
      <c r="K680" t="s">
        <v>33</v>
      </c>
      <c r="L680" t="s">
        <v>38</v>
      </c>
      <c r="M680" s="2">
        <v>0.25</v>
      </c>
      <c r="N680" t="s">
        <v>29</v>
      </c>
      <c r="O680" t="str">
        <f t="shared" si="21"/>
        <v>June</v>
      </c>
      <c r="P680" t="str">
        <f t="shared" si="20"/>
        <v>Adult</v>
      </c>
    </row>
    <row r="681" spans="1:16" x14ac:dyDescent="0.25">
      <c r="A681">
        <v>1680</v>
      </c>
      <c r="B681" s="1">
        <v>45236</v>
      </c>
      <c r="C681" t="s">
        <v>52</v>
      </c>
      <c r="D681" t="s">
        <v>53</v>
      </c>
      <c r="E681" s="3">
        <v>768</v>
      </c>
      <c r="F681" s="3">
        <v>2</v>
      </c>
      <c r="G681" s="3">
        <v>1536</v>
      </c>
      <c r="H681" s="3">
        <v>56</v>
      </c>
      <c r="I681" t="s">
        <v>32</v>
      </c>
      <c r="J681" t="s">
        <v>48</v>
      </c>
      <c r="K681" t="s">
        <v>37</v>
      </c>
      <c r="L681" t="s">
        <v>47</v>
      </c>
      <c r="M681" s="2">
        <v>0.25</v>
      </c>
      <c r="N681" t="s">
        <v>29</v>
      </c>
      <c r="O681" t="str">
        <f t="shared" si="21"/>
        <v>November</v>
      </c>
      <c r="P681" t="str">
        <f t="shared" si="20"/>
        <v>Middle-Aged</v>
      </c>
    </row>
    <row r="682" spans="1:16" x14ac:dyDescent="0.25">
      <c r="A682">
        <v>1681</v>
      </c>
      <c r="B682" s="1">
        <v>45036</v>
      </c>
      <c r="C682" t="s">
        <v>49</v>
      </c>
      <c r="D682" t="s">
        <v>64</v>
      </c>
      <c r="E682" s="3">
        <v>1107</v>
      </c>
      <c r="F682" s="3">
        <v>1</v>
      </c>
      <c r="G682" s="3">
        <v>1107</v>
      </c>
      <c r="H682" s="3">
        <v>34</v>
      </c>
      <c r="I682" t="s">
        <v>18</v>
      </c>
      <c r="J682" t="s">
        <v>48</v>
      </c>
      <c r="K682" t="s">
        <v>45</v>
      </c>
      <c r="L682" t="s">
        <v>28</v>
      </c>
      <c r="M682" s="2">
        <v>0.1</v>
      </c>
      <c r="N682" t="s">
        <v>22</v>
      </c>
      <c r="O682" t="str">
        <f t="shared" si="21"/>
        <v>April</v>
      </c>
      <c r="P682" t="str">
        <f t="shared" si="20"/>
        <v>Adult</v>
      </c>
    </row>
    <row r="683" spans="1:16" x14ac:dyDescent="0.25">
      <c r="A683">
        <v>1682</v>
      </c>
      <c r="B683" s="1">
        <v>45048</v>
      </c>
      <c r="C683" t="s">
        <v>16</v>
      </c>
      <c r="D683" t="s">
        <v>59</v>
      </c>
      <c r="E683" s="3">
        <v>1279</v>
      </c>
      <c r="F683" s="3">
        <v>5</v>
      </c>
      <c r="G683" s="3">
        <v>6395</v>
      </c>
      <c r="H683" s="3">
        <v>36</v>
      </c>
      <c r="I683" t="s">
        <v>32</v>
      </c>
      <c r="J683" t="s">
        <v>48</v>
      </c>
      <c r="K683" t="s">
        <v>45</v>
      </c>
      <c r="L683" t="s">
        <v>38</v>
      </c>
      <c r="M683" s="2">
        <v>0.25</v>
      </c>
      <c r="N683" t="s">
        <v>29</v>
      </c>
      <c r="O683" t="str">
        <f t="shared" si="21"/>
        <v>May</v>
      </c>
      <c r="P683" t="str">
        <f t="shared" si="20"/>
        <v>Adult</v>
      </c>
    </row>
    <row r="684" spans="1:16" x14ac:dyDescent="0.25">
      <c r="A684">
        <v>1683</v>
      </c>
      <c r="B684" s="1">
        <v>44962</v>
      </c>
      <c r="C684" t="s">
        <v>52</v>
      </c>
      <c r="D684" t="s">
        <v>67</v>
      </c>
      <c r="E684" s="3">
        <v>1290</v>
      </c>
      <c r="F684" s="3">
        <v>2</v>
      </c>
      <c r="G684" s="3">
        <v>2580</v>
      </c>
      <c r="H684" s="3">
        <v>27</v>
      </c>
      <c r="I684" t="s">
        <v>18</v>
      </c>
      <c r="J684" t="s">
        <v>58</v>
      </c>
      <c r="K684" t="s">
        <v>20</v>
      </c>
      <c r="L684" t="s">
        <v>21</v>
      </c>
      <c r="M684" s="2">
        <v>0.3</v>
      </c>
      <c r="N684" t="s">
        <v>29</v>
      </c>
      <c r="O684" t="str">
        <f t="shared" si="21"/>
        <v>February</v>
      </c>
      <c r="P684" t="str">
        <f t="shared" si="20"/>
        <v>Young Adult</v>
      </c>
    </row>
    <row r="685" spans="1:16" x14ac:dyDescent="0.25">
      <c r="A685">
        <v>1684</v>
      </c>
      <c r="B685" s="1">
        <v>45169</v>
      </c>
      <c r="C685" t="s">
        <v>30</v>
      </c>
      <c r="D685" t="s">
        <v>69</v>
      </c>
      <c r="E685" s="3">
        <v>523</v>
      </c>
      <c r="F685" s="3">
        <v>2</v>
      </c>
      <c r="G685" s="3">
        <v>1046</v>
      </c>
      <c r="H685" s="3">
        <v>54</v>
      </c>
      <c r="I685" t="s">
        <v>32</v>
      </c>
      <c r="J685" t="s">
        <v>48</v>
      </c>
      <c r="K685" t="s">
        <v>42</v>
      </c>
      <c r="L685" t="s">
        <v>47</v>
      </c>
      <c r="M685" s="2">
        <v>0.2</v>
      </c>
      <c r="N685" t="s">
        <v>22</v>
      </c>
      <c r="O685" t="str">
        <f t="shared" si="21"/>
        <v>August</v>
      </c>
      <c r="P685" t="str">
        <f t="shared" si="20"/>
        <v>Middle-Aged</v>
      </c>
    </row>
    <row r="686" spans="1:16" x14ac:dyDescent="0.25">
      <c r="A686">
        <v>1685</v>
      </c>
      <c r="B686" s="1">
        <v>44987</v>
      </c>
      <c r="C686" t="s">
        <v>24</v>
      </c>
      <c r="D686" t="s">
        <v>54</v>
      </c>
      <c r="E686" s="3">
        <v>603</v>
      </c>
      <c r="F686" s="3">
        <v>3</v>
      </c>
      <c r="G686" s="3">
        <v>1809</v>
      </c>
      <c r="H686" s="3">
        <v>52</v>
      </c>
      <c r="I686" t="s">
        <v>18</v>
      </c>
      <c r="J686" t="s">
        <v>48</v>
      </c>
      <c r="K686" t="s">
        <v>42</v>
      </c>
      <c r="L686" t="s">
        <v>28</v>
      </c>
      <c r="M686" s="2">
        <v>0.1</v>
      </c>
      <c r="N686" t="s">
        <v>29</v>
      </c>
      <c r="O686" t="str">
        <f t="shared" si="21"/>
        <v>March</v>
      </c>
      <c r="P686" t="str">
        <f t="shared" si="20"/>
        <v>Middle-Aged</v>
      </c>
    </row>
    <row r="687" spans="1:16" x14ac:dyDescent="0.25">
      <c r="A687">
        <v>1686</v>
      </c>
      <c r="B687" s="1">
        <v>45141</v>
      </c>
      <c r="C687" t="s">
        <v>39</v>
      </c>
      <c r="D687" t="s">
        <v>40</v>
      </c>
      <c r="E687" s="3">
        <v>83</v>
      </c>
      <c r="F687" s="3">
        <v>2</v>
      </c>
      <c r="G687" s="3">
        <v>166</v>
      </c>
      <c r="H687" s="3">
        <v>45</v>
      </c>
      <c r="I687" t="s">
        <v>18</v>
      </c>
      <c r="J687" t="s">
        <v>26</v>
      </c>
      <c r="K687" t="s">
        <v>33</v>
      </c>
      <c r="L687" t="s">
        <v>21</v>
      </c>
      <c r="M687" s="2">
        <v>0.2</v>
      </c>
      <c r="N687" t="s">
        <v>29</v>
      </c>
      <c r="O687" t="str">
        <f t="shared" si="21"/>
        <v>August</v>
      </c>
      <c r="P687" t="str">
        <f t="shared" si="20"/>
        <v>Adult</v>
      </c>
    </row>
    <row r="688" spans="1:16" x14ac:dyDescent="0.25">
      <c r="A688">
        <v>1687</v>
      </c>
      <c r="B688" s="1">
        <v>44984</v>
      </c>
      <c r="C688" t="s">
        <v>52</v>
      </c>
      <c r="D688" t="s">
        <v>82</v>
      </c>
      <c r="E688" s="3">
        <v>431</v>
      </c>
      <c r="F688" s="3">
        <v>4</v>
      </c>
      <c r="G688" s="3">
        <v>1724</v>
      </c>
      <c r="H688" s="3">
        <v>51</v>
      </c>
      <c r="I688" t="s">
        <v>18</v>
      </c>
      <c r="J688" t="s">
        <v>51</v>
      </c>
      <c r="K688" t="s">
        <v>20</v>
      </c>
      <c r="L688" t="s">
        <v>28</v>
      </c>
      <c r="M688" s="2">
        <v>0.15</v>
      </c>
      <c r="N688" t="s">
        <v>22</v>
      </c>
      <c r="O688" t="str">
        <f t="shared" si="21"/>
        <v>February</v>
      </c>
      <c r="P688" t="str">
        <f t="shared" si="20"/>
        <v>Middle-Aged</v>
      </c>
    </row>
    <row r="689" spans="1:16" x14ac:dyDescent="0.25">
      <c r="A689">
        <v>1688</v>
      </c>
      <c r="B689" s="1">
        <v>45050</v>
      </c>
      <c r="C689" t="s">
        <v>52</v>
      </c>
      <c r="D689" t="s">
        <v>65</v>
      </c>
      <c r="E689" s="3">
        <v>374</v>
      </c>
      <c r="F689" s="3">
        <v>4</v>
      </c>
      <c r="G689" s="3">
        <v>1496</v>
      </c>
      <c r="H689" s="3">
        <v>53</v>
      </c>
      <c r="I689" t="s">
        <v>32</v>
      </c>
      <c r="J689" t="s">
        <v>19</v>
      </c>
      <c r="K689" t="s">
        <v>45</v>
      </c>
      <c r="L689" t="s">
        <v>21</v>
      </c>
      <c r="M689" s="2">
        <v>0.3</v>
      </c>
      <c r="N689" t="s">
        <v>22</v>
      </c>
      <c r="O689" t="str">
        <f t="shared" si="21"/>
        <v>May</v>
      </c>
      <c r="P689" t="str">
        <f t="shared" si="20"/>
        <v>Middle-Aged</v>
      </c>
    </row>
    <row r="690" spans="1:16" x14ac:dyDescent="0.25">
      <c r="A690">
        <v>1689</v>
      </c>
      <c r="B690" s="1">
        <v>45095</v>
      </c>
      <c r="C690" t="s">
        <v>39</v>
      </c>
      <c r="D690" t="s">
        <v>61</v>
      </c>
      <c r="E690" s="3">
        <v>979</v>
      </c>
      <c r="F690" s="3">
        <v>2</v>
      </c>
      <c r="G690" s="3">
        <v>1958</v>
      </c>
      <c r="H690" s="3">
        <v>38</v>
      </c>
      <c r="I690" t="s">
        <v>32</v>
      </c>
      <c r="J690" t="s">
        <v>26</v>
      </c>
      <c r="K690" t="s">
        <v>42</v>
      </c>
      <c r="L690" t="s">
        <v>21</v>
      </c>
      <c r="M690" s="2">
        <v>0.1</v>
      </c>
      <c r="N690" t="s">
        <v>22</v>
      </c>
      <c r="O690" t="str">
        <f t="shared" si="21"/>
        <v>June</v>
      </c>
      <c r="P690" t="str">
        <f t="shared" si="20"/>
        <v>Adult</v>
      </c>
    </row>
    <row r="691" spans="1:16" x14ac:dyDescent="0.25">
      <c r="A691">
        <v>1690</v>
      </c>
      <c r="B691" s="1">
        <v>45262</v>
      </c>
      <c r="C691" t="s">
        <v>52</v>
      </c>
      <c r="D691" t="s">
        <v>65</v>
      </c>
      <c r="E691" s="3">
        <v>237</v>
      </c>
      <c r="F691" s="3">
        <v>3</v>
      </c>
      <c r="G691" s="3">
        <v>711</v>
      </c>
      <c r="H691" s="3">
        <v>25</v>
      </c>
      <c r="I691" t="s">
        <v>18</v>
      </c>
      <c r="J691" t="s">
        <v>26</v>
      </c>
      <c r="K691" t="s">
        <v>33</v>
      </c>
      <c r="L691" t="s">
        <v>34</v>
      </c>
      <c r="M691" s="2">
        <v>0.05</v>
      </c>
      <c r="N691" t="s">
        <v>22</v>
      </c>
      <c r="O691" t="str">
        <f t="shared" si="21"/>
        <v>December</v>
      </c>
      <c r="P691" t="str">
        <f t="shared" si="20"/>
        <v>Young Adult</v>
      </c>
    </row>
    <row r="692" spans="1:16" x14ac:dyDescent="0.25">
      <c r="A692">
        <v>1691</v>
      </c>
      <c r="B692" s="1">
        <v>45254</v>
      </c>
      <c r="C692" t="s">
        <v>16</v>
      </c>
      <c r="D692" t="s">
        <v>62</v>
      </c>
      <c r="E692" s="3">
        <v>1407</v>
      </c>
      <c r="F692" s="3">
        <v>3</v>
      </c>
      <c r="G692" s="3">
        <v>4221</v>
      </c>
      <c r="H692" s="3">
        <v>58</v>
      </c>
      <c r="I692" t="s">
        <v>18</v>
      </c>
      <c r="J692" t="s">
        <v>48</v>
      </c>
      <c r="K692" t="s">
        <v>42</v>
      </c>
      <c r="L692" t="s">
        <v>38</v>
      </c>
      <c r="M692" s="2">
        <v>0.15</v>
      </c>
      <c r="N692" t="s">
        <v>29</v>
      </c>
      <c r="O692" t="str">
        <f t="shared" si="21"/>
        <v>November</v>
      </c>
      <c r="P692" t="str">
        <f t="shared" si="20"/>
        <v>Middle-Aged</v>
      </c>
    </row>
    <row r="693" spans="1:16" x14ac:dyDescent="0.25">
      <c r="A693">
        <v>1692</v>
      </c>
      <c r="B693" s="1">
        <v>45269</v>
      </c>
      <c r="C693" t="s">
        <v>52</v>
      </c>
      <c r="D693" t="s">
        <v>65</v>
      </c>
      <c r="E693" s="3">
        <v>663</v>
      </c>
      <c r="F693" s="3">
        <v>3</v>
      </c>
      <c r="G693" s="3">
        <v>1989</v>
      </c>
      <c r="H693" s="3">
        <v>48</v>
      </c>
      <c r="I693" t="s">
        <v>32</v>
      </c>
      <c r="J693" t="s">
        <v>58</v>
      </c>
      <c r="K693" t="s">
        <v>20</v>
      </c>
      <c r="L693" t="s">
        <v>34</v>
      </c>
      <c r="M693" s="2">
        <v>0.05</v>
      </c>
      <c r="N693" t="s">
        <v>22</v>
      </c>
      <c r="O693" t="str">
        <f t="shared" si="21"/>
        <v>December</v>
      </c>
      <c r="P693" t="str">
        <f t="shared" si="20"/>
        <v>Adult</v>
      </c>
    </row>
    <row r="694" spans="1:16" x14ac:dyDescent="0.25">
      <c r="A694">
        <v>1693</v>
      </c>
      <c r="B694" s="1">
        <v>45137</v>
      </c>
      <c r="C694" t="s">
        <v>16</v>
      </c>
      <c r="D694" t="s">
        <v>56</v>
      </c>
      <c r="E694" s="3">
        <v>1122</v>
      </c>
      <c r="F694" s="3">
        <v>3</v>
      </c>
      <c r="G694" s="3">
        <v>3366</v>
      </c>
      <c r="H694" s="3">
        <v>20</v>
      </c>
      <c r="I694" t="s">
        <v>32</v>
      </c>
      <c r="J694" t="s">
        <v>51</v>
      </c>
      <c r="K694" t="s">
        <v>42</v>
      </c>
      <c r="L694" t="s">
        <v>21</v>
      </c>
      <c r="M694" s="2">
        <v>0.15</v>
      </c>
      <c r="N694" t="s">
        <v>22</v>
      </c>
      <c r="O694" t="str">
        <f t="shared" si="21"/>
        <v>July</v>
      </c>
      <c r="P694" t="str">
        <f t="shared" si="20"/>
        <v>Young Adult</v>
      </c>
    </row>
    <row r="695" spans="1:16" x14ac:dyDescent="0.25">
      <c r="A695">
        <v>1694</v>
      </c>
      <c r="B695" s="1">
        <v>45199</v>
      </c>
      <c r="C695" t="s">
        <v>24</v>
      </c>
      <c r="D695" t="s">
        <v>84</v>
      </c>
      <c r="E695" s="3">
        <v>1072</v>
      </c>
      <c r="F695" s="3">
        <v>1</v>
      </c>
      <c r="G695" s="3">
        <v>1072</v>
      </c>
      <c r="H695" s="3">
        <v>32</v>
      </c>
      <c r="I695" t="s">
        <v>32</v>
      </c>
      <c r="J695" t="s">
        <v>41</v>
      </c>
      <c r="K695" t="s">
        <v>45</v>
      </c>
      <c r="L695" t="s">
        <v>38</v>
      </c>
      <c r="M695" s="2">
        <v>0.05</v>
      </c>
      <c r="N695" t="s">
        <v>29</v>
      </c>
      <c r="O695" t="str">
        <f t="shared" si="21"/>
        <v>September</v>
      </c>
      <c r="P695" t="str">
        <f t="shared" si="20"/>
        <v>Adult</v>
      </c>
    </row>
    <row r="696" spans="1:16" x14ac:dyDescent="0.25">
      <c r="A696">
        <v>1695</v>
      </c>
      <c r="B696" s="1">
        <v>45019</v>
      </c>
      <c r="C696" t="s">
        <v>16</v>
      </c>
      <c r="D696" t="s">
        <v>83</v>
      </c>
      <c r="E696" s="3">
        <v>146</v>
      </c>
      <c r="F696" s="3">
        <v>5</v>
      </c>
      <c r="G696" s="3">
        <v>730</v>
      </c>
      <c r="H696" s="3">
        <v>22</v>
      </c>
      <c r="I696" t="s">
        <v>32</v>
      </c>
      <c r="J696" t="s">
        <v>63</v>
      </c>
      <c r="K696" t="s">
        <v>37</v>
      </c>
      <c r="L696" t="s">
        <v>21</v>
      </c>
      <c r="M696" s="2">
        <v>0.2</v>
      </c>
      <c r="N696" t="s">
        <v>29</v>
      </c>
      <c r="O696" t="str">
        <f t="shared" si="21"/>
        <v>April</v>
      </c>
      <c r="P696" t="str">
        <f t="shared" si="20"/>
        <v>Young Adult</v>
      </c>
    </row>
    <row r="697" spans="1:16" x14ac:dyDescent="0.25">
      <c r="A697">
        <v>1696</v>
      </c>
      <c r="B697" s="1">
        <v>45285</v>
      </c>
      <c r="C697" t="s">
        <v>49</v>
      </c>
      <c r="D697" t="s">
        <v>57</v>
      </c>
      <c r="E697" s="3">
        <v>220</v>
      </c>
      <c r="F697" s="3">
        <v>3</v>
      </c>
      <c r="G697" s="3">
        <v>660</v>
      </c>
      <c r="H697" s="3">
        <v>45</v>
      </c>
      <c r="I697" t="s">
        <v>18</v>
      </c>
      <c r="J697" t="s">
        <v>48</v>
      </c>
      <c r="K697" t="s">
        <v>27</v>
      </c>
      <c r="L697" t="s">
        <v>28</v>
      </c>
      <c r="M697" s="2">
        <v>0.3</v>
      </c>
      <c r="N697" t="s">
        <v>29</v>
      </c>
      <c r="O697" t="str">
        <f t="shared" si="21"/>
        <v>December</v>
      </c>
      <c r="P697" t="str">
        <f t="shared" si="20"/>
        <v>Adult</v>
      </c>
    </row>
    <row r="698" spans="1:16" x14ac:dyDescent="0.25">
      <c r="A698">
        <v>1697</v>
      </c>
      <c r="B698" s="1">
        <v>45162</v>
      </c>
      <c r="C698" t="s">
        <v>24</v>
      </c>
      <c r="D698" t="s">
        <v>25</v>
      </c>
      <c r="E698" s="3">
        <v>1032</v>
      </c>
      <c r="F698" s="3">
        <v>5</v>
      </c>
      <c r="G698" s="3">
        <v>5160</v>
      </c>
      <c r="H698" s="3">
        <v>35</v>
      </c>
      <c r="I698" t="s">
        <v>32</v>
      </c>
      <c r="J698" t="s">
        <v>58</v>
      </c>
      <c r="K698" t="s">
        <v>20</v>
      </c>
      <c r="L698" t="s">
        <v>28</v>
      </c>
      <c r="M698" s="2">
        <v>0.1</v>
      </c>
      <c r="N698" t="s">
        <v>29</v>
      </c>
      <c r="O698" t="str">
        <f t="shared" si="21"/>
        <v>August</v>
      </c>
      <c r="P698" t="str">
        <f t="shared" si="20"/>
        <v>Adult</v>
      </c>
    </row>
    <row r="699" spans="1:16" x14ac:dyDescent="0.25">
      <c r="A699">
        <v>1698</v>
      </c>
      <c r="B699" s="1">
        <v>45306</v>
      </c>
      <c r="C699" t="s">
        <v>30</v>
      </c>
      <c r="D699" t="s">
        <v>79</v>
      </c>
      <c r="E699" s="3">
        <v>1187</v>
      </c>
      <c r="F699" s="3">
        <v>5</v>
      </c>
      <c r="G699" s="3">
        <v>5935</v>
      </c>
      <c r="H699" s="3">
        <v>47</v>
      </c>
      <c r="I699" t="s">
        <v>18</v>
      </c>
      <c r="J699" t="s">
        <v>60</v>
      </c>
      <c r="K699" t="s">
        <v>45</v>
      </c>
      <c r="L699" t="s">
        <v>21</v>
      </c>
      <c r="M699" s="2">
        <v>0.25</v>
      </c>
      <c r="N699" t="s">
        <v>29</v>
      </c>
      <c r="O699" t="str">
        <f t="shared" si="21"/>
        <v>January</v>
      </c>
      <c r="P699" t="str">
        <f t="shared" si="20"/>
        <v>Adult</v>
      </c>
    </row>
    <row r="700" spans="1:16" x14ac:dyDescent="0.25">
      <c r="A700">
        <v>1699</v>
      </c>
      <c r="B700" s="1">
        <v>45299</v>
      </c>
      <c r="C700" t="s">
        <v>49</v>
      </c>
      <c r="D700" t="s">
        <v>66</v>
      </c>
      <c r="E700" s="3">
        <v>402</v>
      </c>
      <c r="F700" s="3">
        <v>1</v>
      </c>
      <c r="G700" s="3">
        <v>402</v>
      </c>
      <c r="H700" s="3">
        <v>28</v>
      </c>
      <c r="I700" t="s">
        <v>32</v>
      </c>
      <c r="J700" t="s">
        <v>58</v>
      </c>
      <c r="K700" t="s">
        <v>33</v>
      </c>
      <c r="L700" t="s">
        <v>34</v>
      </c>
      <c r="M700" s="2">
        <v>0.05</v>
      </c>
      <c r="N700" t="s">
        <v>29</v>
      </c>
      <c r="O700" t="str">
        <f t="shared" si="21"/>
        <v>January</v>
      </c>
      <c r="P700" t="str">
        <f t="shared" si="20"/>
        <v>Young Adult</v>
      </c>
    </row>
    <row r="701" spans="1:16" x14ac:dyDescent="0.25">
      <c r="A701">
        <v>1700</v>
      </c>
      <c r="B701" s="1">
        <v>45305</v>
      </c>
      <c r="C701" t="s">
        <v>35</v>
      </c>
      <c r="D701" t="s">
        <v>70</v>
      </c>
      <c r="E701" s="3">
        <v>453</v>
      </c>
      <c r="F701" s="3">
        <v>3</v>
      </c>
      <c r="G701" s="3">
        <v>1359</v>
      </c>
      <c r="H701" s="3">
        <v>35</v>
      </c>
      <c r="I701" t="s">
        <v>32</v>
      </c>
      <c r="J701" t="s">
        <v>43</v>
      </c>
      <c r="K701" t="s">
        <v>37</v>
      </c>
      <c r="L701" t="s">
        <v>47</v>
      </c>
      <c r="M701" s="2">
        <v>0.25</v>
      </c>
      <c r="N701" t="s">
        <v>29</v>
      </c>
      <c r="O701" t="str">
        <f t="shared" si="21"/>
        <v>January</v>
      </c>
      <c r="P701" t="str">
        <f t="shared" si="20"/>
        <v>Adult</v>
      </c>
    </row>
    <row r="702" spans="1:16" x14ac:dyDescent="0.25">
      <c r="A702">
        <v>1701</v>
      </c>
      <c r="B702" s="1">
        <v>45002</v>
      </c>
      <c r="C702" t="s">
        <v>35</v>
      </c>
      <c r="D702" t="s">
        <v>70</v>
      </c>
      <c r="E702" s="3">
        <v>665</v>
      </c>
      <c r="F702" s="3">
        <v>3</v>
      </c>
      <c r="G702" s="3">
        <v>1995</v>
      </c>
      <c r="H702" s="3">
        <v>30</v>
      </c>
      <c r="I702" t="s">
        <v>18</v>
      </c>
      <c r="J702" t="s">
        <v>48</v>
      </c>
      <c r="K702" t="s">
        <v>42</v>
      </c>
      <c r="L702" t="s">
        <v>38</v>
      </c>
      <c r="M702" s="2">
        <v>0.05</v>
      </c>
      <c r="N702" t="s">
        <v>29</v>
      </c>
      <c r="O702" t="str">
        <f t="shared" si="21"/>
        <v>March</v>
      </c>
      <c r="P702" t="str">
        <f t="shared" si="20"/>
        <v>Adult</v>
      </c>
    </row>
    <row r="703" spans="1:16" x14ac:dyDescent="0.25">
      <c r="A703">
        <v>1702</v>
      </c>
      <c r="B703" s="1">
        <v>45325</v>
      </c>
      <c r="C703" t="s">
        <v>16</v>
      </c>
      <c r="D703" t="s">
        <v>71</v>
      </c>
      <c r="E703" s="3">
        <v>559</v>
      </c>
      <c r="F703" s="3">
        <v>5</v>
      </c>
      <c r="G703" s="3">
        <v>2795</v>
      </c>
      <c r="H703" s="3">
        <v>20</v>
      </c>
      <c r="I703" t="s">
        <v>18</v>
      </c>
      <c r="J703" t="s">
        <v>43</v>
      </c>
      <c r="K703" t="s">
        <v>45</v>
      </c>
      <c r="L703" t="s">
        <v>21</v>
      </c>
      <c r="M703" s="2">
        <v>0.3</v>
      </c>
      <c r="N703" t="s">
        <v>29</v>
      </c>
      <c r="O703" t="str">
        <f t="shared" si="21"/>
        <v>February</v>
      </c>
      <c r="P703" t="str">
        <f t="shared" si="20"/>
        <v>Young Adult</v>
      </c>
    </row>
    <row r="704" spans="1:16" x14ac:dyDescent="0.25">
      <c r="A704">
        <v>1703</v>
      </c>
      <c r="B704" s="1">
        <v>45137</v>
      </c>
      <c r="C704" t="s">
        <v>52</v>
      </c>
      <c r="D704" t="s">
        <v>67</v>
      </c>
      <c r="E704" s="3">
        <v>394</v>
      </c>
      <c r="F704" s="3">
        <v>3</v>
      </c>
      <c r="G704" s="3">
        <v>1182</v>
      </c>
      <c r="H704" s="3">
        <v>20</v>
      </c>
      <c r="I704" t="s">
        <v>32</v>
      </c>
      <c r="J704" t="s">
        <v>48</v>
      </c>
      <c r="K704" t="s">
        <v>45</v>
      </c>
      <c r="L704" t="s">
        <v>38</v>
      </c>
      <c r="M704" s="2">
        <v>0.15</v>
      </c>
      <c r="N704" t="s">
        <v>22</v>
      </c>
      <c r="O704" t="str">
        <f t="shared" si="21"/>
        <v>July</v>
      </c>
      <c r="P704" t="str">
        <f t="shared" si="20"/>
        <v>Young Adult</v>
      </c>
    </row>
    <row r="705" spans="1:16" x14ac:dyDescent="0.25">
      <c r="A705">
        <v>1704</v>
      </c>
      <c r="B705" s="1">
        <v>45236</v>
      </c>
      <c r="C705" t="s">
        <v>39</v>
      </c>
      <c r="D705" t="s">
        <v>40</v>
      </c>
      <c r="E705" s="3">
        <v>185</v>
      </c>
      <c r="F705" s="3">
        <v>2</v>
      </c>
      <c r="G705" s="3">
        <v>370</v>
      </c>
      <c r="H705" s="3">
        <v>54</v>
      </c>
      <c r="I705" t="s">
        <v>32</v>
      </c>
      <c r="J705" t="s">
        <v>19</v>
      </c>
      <c r="K705" t="s">
        <v>20</v>
      </c>
      <c r="L705" t="s">
        <v>34</v>
      </c>
      <c r="M705" s="2">
        <v>0.25</v>
      </c>
      <c r="N705" t="s">
        <v>22</v>
      </c>
      <c r="O705" t="str">
        <f t="shared" si="21"/>
        <v>November</v>
      </c>
      <c r="P705" t="str">
        <f t="shared" si="20"/>
        <v>Middle-Aged</v>
      </c>
    </row>
    <row r="706" spans="1:16" x14ac:dyDescent="0.25">
      <c r="A706">
        <v>1705</v>
      </c>
      <c r="B706" s="1">
        <v>45301</v>
      </c>
      <c r="C706" t="s">
        <v>24</v>
      </c>
      <c r="D706" t="s">
        <v>25</v>
      </c>
      <c r="E706" s="3">
        <v>1225</v>
      </c>
      <c r="F706" s="3">
        <v>3</v>
      </c>
      <c r="G706" s="3">
        <v>3675</v>
      </c>
      <c r="H706" s="3">
        <v>38</v>
      </c>
      <c r="I706" t="s">
        <v>32</v>
      </c>
      <c r="J706" t="s">
        <v>26</v>
      </c>
      <c r="K706" t="s">
        <v>27</v>
      </c>
      <c r="L706" t="s">
        <v>21</v>
      </c>
      <c r="M706" s="2">
        <v>0.25</v>
      </c>
      <c r="N706" t="s">
        <v>29</v>
      </c>
      <c r="O706" t="str">
        <f t="shared" si="21"/>
        <v>January</v>
      </c>
      <c r="P706" t="str">
        <f t="shared" ref="P706:P769" si="22">IF(H706&lt;13, "Child", IF(H706&lt;18, "Teen", IF(H706&lt;30, "Young Adult", IF(H706&lt;50, "Adult", IF(H706&lt;65, "Middle-Aged", "Senior")))))</f>
        <v>Adult</v>
      </c>
    </row>
    <row r="707" spans="1:16" x14ac:dyDescent="0.25">
      <c r="A707">
        <v>1706</v>
      </c>
      <c r="B707" s="1">
        <v>44969</v>
      </c>
      <c r="C707" t="s">
        <v>39</v>
      </c>
      <c r="D707" t="s">
        <v>40</v>
      </c>
      <c r="E707" s="3">
        <v>950</v>
      </c>
      <c r="F707" s="3">
        <v>3</v>
      </c>
      <c r="G707" s="3">
        <v>2850</v>
      </c>
      <c r="H707" s="3">
        <v>50</v>
      </c>
      <c r="I707" t="s">
        <v>18</v>
      </c>
      <c r="J707" t="s">
        <v>43</v>
      </c>
      <c r="K707" t="s">
        <v>37</v>
      </c>
      <c r="L707" t="s">
        <v>34</v>
      </c>
      <c r="M707" s="2">
        <v>0.15</v>
      </c>
      <c r="N707" t="s">
        <v>22</v>
      </c>
      <c r="O707" t="str">
        <f t="shared" ref="O707:O770" si="23">TEXT(B707, "MMMM")</f>
        <v>February</v>
      </c>
      <c r="P707" t="str">
        <f t="shared" si="22"/>
        <v>Middle-Aged</v>
      </c>
    </row>
    <row r="708" spans="1:16" x14ac:dyDescent="0.25">
      <c r="A708">
        <v>1707</v>
      </c>
      <c r="B708" s="1">
        <v>45180</v>
      </c>
      <c r="C708" t="s">
        <v>35</v>
      </c>
      <c r="D708" t="s">
        <v>75</v>
      </c>
      <c r="E708" s="3">
        <v>1329</v>
      </c>
      <c r="F708" s="3">
        <v>3</v>
      </c>
      <c r="G708" s="3">
        <v>3987</v>
      </c>
      <c r="H708" s="3">
        <v>21</v>
      </c>
      <c r="I708" t="s">
        <v>32</v>
      </c>
      <c r="J708" t="s">
        <v>41</v>
      </c>
      <c r="K708" t="s">
        <v>42</v>
      </c>
      <c r="L708" t="s">
        <v>47</v>
      </c>
      <c r="M708" s="2">
        <v>0.05</v>
      </c>
      <c r="N708" t="s">
        <v>22</v>
      </c>
      <c r="O708" t="str">
        <f t="shared" si="23"/>
        <v>September</v>
      </c>
      <c r="P708" t="str">
        <f t="shared" si="22"/>
        <v>Young Adult</v>
      </c>
    </row>
    <row r="709" spans="1:16" x14ac:dyDescent="0.25">
      <c r="A709">
        <v>1708</v>
      </c>
      <c r="B709" s="1">
        <v>45288</v>
      </c>
      <c r="C709" t="s">
        <v>39</v>
      </c>
      <c r="D709" t="s">
        <v>46</v>
      </c>
      <c r="E709" s="3">
        <v>319</v>
      </c>
      <c r="F709" s="3">
        <v>3</v>
      </c>
      <c r="G709" s="3">
        <v>957</v>
      </c>
      <c r="H709" s="3">
        <v>36</v>
      </c>
      <c r="I709" t="s">
        <v>32</v>
      </c>
      <c r="J709" t="s">
        <v>48</v>
      </c>
      <c r="K709" t="s">
        <v>45</v>
      </c>
      <c r="L709" t="s">
        <v>38</v>
      </c>
      <c r="M709" s="2">
        <v>0.2</v>
      </c>
      <c r="N709" t="s">
        <v>22</v>
      </c>
      <c r="O709" t="str">
        <f t="shared" si="23"/>
        <v>December</v>
      </c>
      <c r="P709" t="str">
        <f t="shared" si="22"/>
        <v>Adult</v>
      </c>
    </row>
    <row r="710" spans="1:16" x14ac:dyDescent="0.25">
      <c r="A710">
        <v>1709</v>
      </c>
      <c r="B710" s="1">
        <v>45238</v>
      </c>
      <c r="C710" t="s">
        <v>35</v>
      </c>
      <c r="D710" t="s">
        <v>72</v>
      </c>
      <c r="E710" s="3">
        <v>363</v>
      </c>
      <c r="F710" s="3">
        <v>4</v>
      </c>
      <c r="G710" s="3">
        <v>1452</v>
      </c>
      <c r="H710" s="3">
        <v>52</v>
      </c>
      <c r="I710" t="s">
        <v>32</v>
      </c>
      <c r="J710" t="s">
        <v>26</v>
      </c>
      <c r="K710" t="s">
        <v>42</v>
      </c>
      <c r="L710" t="s">
        <v>47</v>
      </c>
      <c r="M710" s="2">
        <v>0.05</v>
      </c>
      <c r="N710" t="s">
        <v>29</v>
      </c>
      <c r="O710" t="str">
        <f t="shared" si="23"/>
        <v>November</v>
      </c>
      <c r="P710" t="str">
        <f t="shared" si="22"/>
        <v>Middle-Aged</v>
      </c>
    </row>
    <row r="711" spans="1:16" x14ac:dyDescent="0.25">
      <c r="A711">
        <v>1710</v>
      </c>
      <c r="B711" s="1">
        <v>45275</v>
      </c>
      <c r="C711" t="s">
        <v>49</v>
      </c>
      <c r="D711" t="s">
        <v>57</v>
      </c>
      <c r="E711" s="3">
        <v>974</v>
      </c>
      <c r="F711" s="3">
        <v>4</v>
      </c>
      <c r="G711" s="3">
        <v>3896</v>
      </c>
      <c r="H711" s="3">
        <v>41</v>
      </c>
      <c r="I711" t="s">
        <v>18</v>
      </c>
      <c r="J711" t="s">
        <v>41</v>
      </c>
      <c r="K711" t="s">
        <v>42</v>
      </c>
      <c r="L711" t="s">
        <v>47</v>
      </c>
      <c r="M711" s="2">
        <v>0.3</v>
      </c>
      <c r="N711" t="s">
        <v>22</v>
      </c>
      <c r="O711" t="str">
        <f t="shared" si="23"/>
        <v>December</v>
      </c>
      <c r="P711" t="str">
        <f t="shared" si="22"/>
        <v>Adult</v>
      </c>
    </row>
    <row r="712" spans="1:16" x14ac:dyDescent="0.25">
      <c r="A712">
        <v>1711</v>
      </c>
      <c r="B712" s="1">
        <v>45259</v>
      </c>
      <c r="C712" t="s">
        <v>35</v>
      </c>
      <c r="D712" t="s">
        <v>75</v>
      </c>
      <c r="E712" s="3">
        <v>166</v>
      </c>
      <c r="F712" s="3">
        <v>2</v>
      </c>
      <c r="G712" s="3">
        <v>332</v>
      </c>
      <c r="H712" s="3">
        <v>23</v>
      </c>
      <c r="I712" t="s">
        <v>18</v>
      </c>
      <c r="J712" t="s">
        <v>19</v>
      </c>
      <c r="K712" t="s">
        <v>37</v>
      </c>
      <c r="L712" t="s">
        <v>28</v>
      </c>
      <c r="M712" s="2">
        <v>0.15</v>
      </c>
      <c r="N712" t="s">
        <v>29</v>
      </c>
      <c r="O712" t="str">
        <f t="shared" si="23"/>
        <v>November</v>
      </c>
      <c r="P712" t="str">
        <f t="shared" si="22"/>
        <v>Young Adult</v>
      </c>
    </row>
    <row r="713" spans="1:16" x14ac:dyDescent="0.25">
      <c r="A713">
        <v>1712</v>
      </c>
      <c r="B713" s="1">
        <v>45071</v>
      </c>
      <c r="C713" t="s">
        <v>52</v>
      </c>
      <c r="D713" t="s">
        <v>82</v>
      </c>
      <c r="E713" s="3">
        <v>531</v>
      </c>
      <c r="F713" s="3">
        <v>3</v>
      </c>
      <c r="G713" s="3">
        <v>1593</v>
      </c>
      <c r="H713" s="3">
        <v>26</v>
      </c>
      <c r="I713" t="s">
        <v>32</v>
      </c>
      <c r="J713" t="s">
        <v>43</v>
      </c>
      <c r="K713" t="s">
        <v>45</v>
      </c>
      <c r="L713" t="s">
        <v>28</v>
      </c>
      <c r="M713" s="2">
        <v>0.25</v>
      </c>
      <c r="N713" t="s">
        <v>22</v>
      </c>
      <c r="O713" t="str">
        <f t="shared" si="23"/>
        <v>May</v>
      </c>
      <c r="P713" t="str">
        <f t="shared" si="22"/>
        <v>Young Adult</v>
      </c>
    </row>
    <row r="714" spans="1:16" x14ac:dyDescent="0.25">
      <c r="A714">
        <v>1713</v>
      </c>
      <c r="B714" s="1">
        <v>45046</v>
      </c>
      <c r="C714" t="s">
        <v>35</v>
      </c>
      <c r="D714" t="s">
        <v>74</v>
      </c>
      <c r="E714" s="3">
        <v>535</v>
      </c>
      <c r="F714" s="3">
        <v>4</v>
      </c>
      <c r="G714" s="3">
        <v>2140</v>
      </c>
      <c r="H714" s="3">
        <v>26</v>
      </c>
      <c r="I714" t="s">
        <v>18</v>
      </c>
      <c r="J714" t="s">
        <v>63</v>
      </c>
      <c r="K714" t="s">
        <v>20</v>
      </c>
      <c r="L714" t="s">
        <v>47</v>
      </c>
      <c r="M714" s="2">
        <v>0.25</v>
      </c>
      <c r="N714" t="s">
        <v>29</v>
      </c>
      <c r="O714" t="str">
        <f t="shared" si="23"/>
        <v>April</v>
      </c>
      <c r="P714" t="str">
        <f t="shared" si="22"/>
        <v>Young Adult</v>
      </c>
    </row>
    <row r="715" spans="1:16" x14ac:dyDescent="0.25">
      <c r="A715">
        <v>1714</v>
      </c>
      <c r="B715" s="1">
        <v>45199</v>
      </c>
      <c r="C715" t="s">
        <v>39</v>
      </c>
      <c r="D715" t="s">
        <v>40</v>
      </c>
      <c r="E715" s="3">
        <v>498</v>
      </c>
      <c r="F715" s="3">
        <v>1</v>
      </c>
      <c r="G715" s="3">
        <v>498</v>
      </c>
      <c r="H715" s="3">
        <v>26</v>
      </c>
      <c r="I715" t="s">
        <v>18</v>
      </c>
      <c r="J715" t="s">
        <v>58</v>
      </c>
      <c r="K715" t="s">
        <v>45</v>
      </c>
      <c r="L715" t="s">
        <v>34</v>
      </c>
      <c r="M715" s="2">
        <v>0.15</v>
      </c>
      <c r="N715" t="s">
        <v>29</v>
      </c>
      <c r="O715" t="str">
        <f t="shared" si="23"/>
        <v>September</v>
      </c>
      <c r="P715" t="str">
        <f t="shared" si="22"/>
        <v>Young Adult</v>
      </c>
    </row>
    <row r="716" spans="1:16" x14ac:dyDescent="0.25">
      <c r="A716">
        <v>1715</v>
      </c>
      <c r="B716" s="1">
        <v>45220</v>
      </c>
      <c r="C716" t="s">
        <v>24</v>
      </c>
      <c r="D716" t="s">
        <v>80</v>
      </c>
      <c r="E716" s="3">
        <v>985</v>
      </c>
      <c r="F716" s="3">
        <v>2</v>
      </c>
      <c r="G716" s="3">
        <v>1970</v>
      </c>
      <c r="H716" s="3">
        <v>34</v>
      </c>
      <c r="I716" t="s">
        <v>32</v>
      </c>
      <c r="J716" t="s">
        <v>63</v>
      </c>
      <c r="K716" t="s">
        <v>20</v>
      </c>
      <c r="L716" t="s">
        <v>38</v>
      </c>
      <c r="M716" s="2">
        <v>0.2</v>
      </c>
      <c r="N716" t="s">
        <v>22</v>
      </c>
      <c r="O716" t="str">
        <f t="shared" si="23"/>
        <v>October</v>
      </c>
      <c r="P716" t="str">
        <f t="shared" si="22"/>
        <v>Adult</v>
      </c>
    </row>
    <row r="717" spans="1:16" x14ac:dyDescent="0.25">
      <c r="A717">
        <v>1716</v>
      </c>
      <c r="B717" s="1">
        <v>45049</v>
      </c>
      <c r="C717" t="s">
        <v>52</v>
      </c>
      <c r="D717" t="s">
        <v>53</v>
      </c>
      <c r="E717" s="3">
        <v>1342</v>
      </c>
      <c r="F717" s="3">
        <v>2</v>
      </c>
      <c r="G717" s="3">
        <v>2684</v>
      </c>
      <c r="H717" s="3">
        <v>56</v>
      </c>
      <c r="I717" t="s">
        <v>18</v>
      </c>
      <c r="J717" t="s">
        <v>48</v>
      </c>
      <c r="K717" t="s">
        <v>37</v>
      </c>
      <c r="L717" t="s">
        <v>47</v>
      </c>
      <c r="M717" s="2">
        <v>0.25</v>
      </c>
      <c r="N717" t="s">
        <v>29</v>
      </c>
      <c r="O717" t="str">
        <f t="shared" si="23"/>
        <v>May</v>
      </c>
      <c r="P717" t="str">
        <f t="shared" si="22"/>
        <v>Middle-Aged</v>
      </c>
    </row>
    <row r="718" spans="1:16" x14ac:dyDescent="0.25">
      <c r="A718">
        <v>1717</v>
      </c>
      <c r="B718" s="1">
        <v>45229</v>
      </c>
      <c r="C718" t="s">
        <v>30</v>
      </c>
      <c r="D718" t="s">
        <v>69</v>
      </c>
      <c r="E718" s="3">
        <v>136</v>
      </c>
      <c r="F718" s="3">
        <v>4</v>
      </c>
      <c r="G718" s="3">
        <v>544</v>
      </c>
      <c r="H718" s="3">
        <v>19</v>
      </c>
      <c r="I718" t="s">
        <v>18</v>
      </c>
      <c r="J718" t="s">
        <v>58</v>
      </c>
      <c r="K718" t="s">
        <v>37</v>
      </c>
      <c r="L718" t="s">
        <v>28</v>
      </c>
      <c r="M718" s="2">
        <v>0.25</v>
      </c>
      <c r="N718" t="s">
        <v>29</v>
      </c>
      <c r="O718" t="str">
        <f t="shared" si="23"/>
        <v>October</v>
      </c>
      <c r="P718" t="str">
        <f t="shared" si="22"/>
        <v>Young Adult</v>
      </c>
    </row>
    <row r="719" spans="1:16" x14ac:dyDescent="0.25">
      <c r="A719">
        <v>1718</v>
      </c>
      <c r="B719" s="1">
        <v>44990</v>
      </c>
      <c r="C719" t="s">
        <v>52</v>
      </c>
      <c r="D719" t="s">
        <v>73</v>
      </c>
      <c r="E719" s="3">
        <v>712</v>
      </c>
      <c r="F719" s="3">
        <v>3</v>
      </c>
      <c r="G719" s="3">
        <v>2136</v>
      </c>
      <c r="H719" s="3">
        <v>46</v>
      </c>
      <c r="I719" t="s">
        <v>18</v>
      </c>
      <c r="J719" t="s">
        <v>63</v>
      </c>
      <c r="K719" t="s">
        <v>42</v>
      </c>
      <c r="L719" t="s">
        <v>34</v>
      </c>
      <c r="M719" s="2">
        <v>0.05</v>
      </c>
      <c r="N719" t="s">
        <v>22</v>
      </c>
      <c r="O719" t="str">
        <f t="shared" si="23"/>
        <v>March</v>
      </c>
      <c r="P719" t="str">
        <f t="shared" si="22"/>
        <v>Adult</v>
      </c>
    </row>
    <row r="720" spans="1:16" x14ac:dyDescent="0.25">
      <c r="A720">
        <v>1719</v>
      </c>
      <c r="B720" s="1">
        <v>45264</v>
      </c>
      <c r="C720" t="s">
        <v>16</v>
      </c>
      <c r="D720" t="s">
        <v>56</v>
      </c>
      <c r="E720" s="3">
        <v>254</v>
      </c>
      <c r="F720" s="3">
        <v>1</v>
      </c>
      <c r="G720" s="3">
        <v>254</v>
      </c>
      <c r="H720" s="3">
        <v>29</v>
      </c>
      <c r="I720" t="s">
        <v>18</v>
      </c>
      <c r="J720" t="s">
        <v>19</v>
      </c>
      <c r="K720" t="s">
        <v>45</v>
      </c>
      <c r="L720" t="s">
        <v>34</v>
      </c>
      <c r="M720" s="2">
        <v>0.2</v>
      </c>
      <c r="N720" t="s">
        <v>29</v>
      </c>
      <c r="O720" t="str">
        <f t="shared" si="23"/>
        <v>December</v>
      </c>
      <c r="P720" t="str">
        <f t="shared" si="22"/>
        <v>Young Adult</v>
      </c>
    </row>
    <row r="721" spans="1:16" x14ac:dyDescent="0.25">
      <c r="A721">
        <v>1720</v>
      </c>
      <c r="B721" s="1">
        <v>45126</v>
      </c>
      <c r="C721" t="s">
        <v>30</v>
      </c>
      <c r="D721" t="s">
        <v>69</v>
      </c>
      <c r="E721" s="3">
        <v>1135</v>
      </c>
      <c r="F721" s="3">
        <v>2</v>
      </c>
      <c r="G721" s="3">
        <v>2270</v>
      </c>
      <c r="H721" s="3">
        <v>48</v>
      </c>
      <c r="I721" t="s">
        <v>18</v>
      </c>
      <c r="J721" t="s">
        <v>43</v>
      </c>
      <c r="K721" t="s">
        <v>33</v>
      </c>
      <c r="L721" t="s">
        <v>34</v>
      </c>
      <c r="M721" s="2">
        <v>0.25</v>
      </c>
      <c r="N721" t="s">
        <v>22</v>
      </c>
      <c r="O721" t="str">
        <f t="shared" si="23"/>
        <v>July</v>
      </c>
      <c r="P721" t="str">
        <f t="shared" si="22"/>
        <v>Adult</v>
      </c>
    </row>
    <row r="722" spans="1:16" x14ac:dyDescent="0.25">
      <c r="A722">
        <v>1721</v>
      </c>
      <c r="B722" s="1">
        <v>44985</v>
      </c>
      <c r="C722" t="s">
        <v>30</v>
      </c>
      <c r="D722" t="s">
        <v>69</v>
      </c>
      <c r="E722" s="3">
        <v>244</v>
      </c>
      <c r="F722" s="3">
        <v>1</v>
      </c>
      <c r="G722" s="3">
        <v>244</v>
      </c>
      <c r="H722" s="3">
        <v>53</v>
      </c>
      <c r="I722" t="s">
        <v>32</v>
      </c>
      <c r="J722" t="s">
        <v>51</v>
      </c>
      <c r="K722" t="s">
        <v>45</v>
      </c>
      <c r="L722" t="s">
        <v>28</v>
      </c>
      <c r="M722" s="2">
        <v>0.3</v>
      </c>
      <c r="N722" t="s">
        <v>22</v>
      </c>
      <c r="O722" t="str">
        <f t="shared" si="23"/>
        <v>February</v>
      </c>
      <c r="P722" t="str">
        <f t="shared" si="22"/>
        <v>Middle-Aged</v>
      </c>
    </row>
    <row r="723" spans="1:16" x14ac:dyDescent="0.25">
      <c r="A723">
        <v>1722</v>
      </c>
      <c r="B723" s="1">
        <v>45322</v>
      </c>
      <c r="C723" t="s">
        <v>30</v>
      </c>
      <c r="D723" t="s">
        <v>31</v>
      </c>
      <c r="E723" s="3">
        <v>1083</v>
      </c>
      <c r="F723" s="3">
        <v>4</v>
      </c>
      <c r="G723" s="3">
        <v>4332</v>
      </c>
      <c r="H723" s="3">
        <v>21</v>
      </c>
      <c r="I723" t="s">
        <v>18</v>
      </c>
      <c r="J723" t="s">
        <v>48</v>
      </c>
      <c r="K723" t="s">
        <v>20</v>
      </c>
      <c r="L723" t="s">
        <v>38</v>
      </c>
      <c r="M723" s="2">
        <v>0.15</v>
      </c>
      <c r="N723" t="s">
        <v>29</v>
      </c>
      <c r="O723" t="str">
        <f t="shared" si="23"/>
        <v>January</v>
      </c>
      <c r="P723" t="str">
        <f t="shared" si="22"/>
        <v>Young Adult</v>
      </c>
    </row>
    <row r="724" spans="1:16" x14ac:dyDescent="0.25">
      <c r="A724">
        <v>1723</v>
      </c>
      <c r="B724" s="1">
        <v>45236</v>
      </c>
      <c r="C724" t="s">
        <v>30</v>
      </c>
      <c r="D724" t="s">
        <v>77</v>
      </c>
      <c r="E724" s="3">
        <v>713</v>
      </c>
      <c r="F724" s="3">
        <v>2</v>
      </c>
      <c r="G724" s="3">
        <v>1426</v>
      </c>
      <c r="H724" s="3">
        <v>49</v>
      </c>
      <c r="I724" t="s">
        <v>32</v>
      </c>
      <c r="J724" t="s">
        <v>55</v>
      </c>
      <c r="K724" t="s">
        <v>37</v>
      </c>
      <c r="L724" t="s">
        <v>34</v>
      </c>
      <c r="M724" s="2">
        <v>0.25</v>
      </c>
      <c r="N724" t="s">
        <v>22</v>
      </c>
      <c r="O724" t="str">
        <f t="shared" si="23"/>
        <v>November</v>
      </c>
      <c r="P724" t="str">
        <f t="shared" si="22"/>
        <v>Adult</v>
      </c>
    </row>
    <row r="725" spans="1:16" x14ac:dyDescent="0.25">
      <c r="A725">
        <v>1724</v>
      </c>
      <c r="B725" s="1">
        <v>45067</v>
      </c>
      <c r="C725" t="s">
        <v>49</v>
      </c>
      <c r="D725" t="s">
        <v>64</v>
      </c>
      <c r="E725" s="3">
        <v>1097</v>
      </c>
      <c r="F725" s="3">
        <v>1</v>
      </c>
      <c r="G725" s="3">
        <v>1097</v>
      </c>
      <c r="H725" s="3">
        <v>21</v>
      </c>
      <c r="I725" t="s">
        <v>32</v>
      </c>
      <c r="J725" t="s">
        <v>41</v>
      </c>
      <c r="K725" t="s">
        <v>42</v>
      </c>
      <c r="L725" t="s">
        <v>47</v>
      </c>
      <c r="M725" s="2">
        <v>0.3</v>
      </c>
      <c r="N725" t="s">
        <v>29</v>
      </c>
      <c r="O725" t="str">
        <f t="shared" si="23"/>
        <v>May</v>
      </c>
      <c r="P725" t="str">
        <f t="shared" si="22"/>
        <v>Young Adult</v>
      </c>
    </row>
    <row r="726" spans="1:16" x14ac:dyDescent="0.25">
      <c r="A726">
        <v>1725</v>
      </c>
      <c r="B726" s="1">
        <v>45048</v>
      </c>
      <c r="C726" t="s">
        <v>35</v>
      </c>
      <c r="D726" t="s">
        <v>75</v>
      </c>
      <c r="E726" s="3">
        <v>1260</v>
      </c>
      <c r="F726" s="3">
        <v>4</v>
      </c>
      <c r="G726" s="3">
        <v>5040</v>
      </c>
      <c r="H726" s="3">
        <v>19</v>
      </c>
      <c r="I726" t="s">
        <v>18</v>
      </c>
      <c r="J726" t="s">
        <v>41</v>
      </c>
      <c r="K726" t="s">
        <v>20</v>
      </c>
      <c r="L726" t="s">
        <v>21</v>
      </c>
      <c r="M726" s="2">
        <v>0.15</v>
      </c>
      <c r="N726" t="s">
        <v>29</v>
      </c>
      <c r="O726" t="str">
        <f t="shared" si="23"/>
        <v>May</v>
      </c>
      <c r="P726" t="str">
        <f t="shared" si="22"/>
        <v>Young Adult</v>
      </c>
    </row>
    <row r="727" spans="1:16" x14ac:dyDescent="0.25">
      <c r="A727">
        <v>1726</v>
      </c>
      <c r="B727" s="1">
        <v>45222</v>
      </c>
      <c r="C727" t="s">
        <v>52</v>
      </c>
      <c r="D727" t="s">
        <v>53</v>
      </c>
      <c r="E727" s="3">
        <v>1236</v>
      </c>
      <c r="F727" s="3">
        <v>3</v>
      </c>
      <c r="G727" s="3">
        <v>3708</v>
      </c>
      <c r="H727" s="3">
        <v>57</v>
      </c>
      <c r="I727" t="s">
        <v>32</v>
      </c>
      <c r="J727" t="s">
        <v>63</v>
      </c>
      <c r="K727" t="s">
        <v>20</v>
      </c>
      <c r="L727" t="s">
        <v>34</v>
      </c>
      <c r="M727" s="2">
        <v>0.2</v>
      </c>
      <c r="N727" t="s">
        <v>22</v>
      </c>
      <c r="O727" t="str">
        <f t="shared" si="23"/>
        <v>October</v>
      </c>
      <c r="P727" t="str">
        <f t="shared" si="22"/>
        <v>Middle-Aged</v>
      </c>
    </row>
    <row r="728" spans="1:16" x14ac:dyDescent="0.25">
      <c r="A728">
        <v>1727</v>
      </c>
      <c r="B728" s="1">
        <v>45094</v>
      </c>
      <c r="C728" t="s">
        <v>49</v>
      </c>
      <c r="D728" t="s">
        <v>66</v>
      </c>
      <c r="E728" s="3">
        <v>767</v>
      </c>
      <c r="F728" s="3">
        <v>5</v>
      </c>
      <c r="G728" s="3">
        <v>3835</v>
      </c>
      <c r="H728" s="3">
        <v>48</v>
      </c>
      <c r="I728" t="s">
        <v>18</v>
      </c>
      <c r="J728" t="s">
        <v>48</v>
      </c>
      <c r="K728" t="s">
        <v>27</v>
      </c>
      <c r="L728" t="s">
        <v>34</v>
      </c>
      <c r="M728" s="2">
        <v>0.05</v>
      </c>
      <c r="N728" t="s">
        <v>29</v>
      </c>
      <c r="O728" t="str">
        <f t="shared" si="23"/>
        <v>June</v>
      </c>
      <c r="P728" t="str">
        <f t="shared" si="22"/>
        <v>Adult</v>
      </c>
    </row>
    <row r="729" spans="1:16" x14ac:dyDescent="0.25">
      <c r="A729">
        <v>1728</v>
      </c>
      <c r="B729" s="1">
        <v>45273</v>
      </c>
      <c r="C729" t="s">
        <v>39</v>
      </c>
      <c r="D729" t="s">
        <v>40</v>
      </c>
      <c r="E729" s="3">
        <v>105</v>
      </c>
      <c r="F729" s="3">
        <v>2</v>
      </c>
      <c r="G729" s="3">
        <v>210</v>
      </c>
      <c r="H729" s="3">
        <v>23</v>
      </c>
      <c r="I729" t="s">
        <v>18</v>
      </c>
      <c r="J729" t="s">
        <v>58</v>
      </c>
      <c r="K729" t="s">
        <v>20</v>
      </c>
      <c r="L729" t="s">
        <v>38</v>
      </c>
      <c r="M729" s="2">
        <v>0.3</v>
      </c>
      <c r="N729" t="s">
        <v>29</v>
      </c>
      <c r="O729" t="str">
        <f t="shared" si="23"/>
        <v>December</v>
      </c>
      <c r="P729" t="str">
        <f t="shared" si="22"/>
        <v>Young Adult</v>
      </c>
    </row>
    <row r="730" spans="1:16" x14ac:dyDescent="0.25">
      <c r="A730">
        <v>1729</v>
      </c>
      <c r="B730" s="1">
        <v>45057</v>
      </c>
      <c r="C730" t="s">
        <v>16</v>
      </c>
      <c r="D730" t="s">
        <v>83</v>
      </c>
      <c r="E730" s="3">
        <v>1488</v>
      </c>
      <c r="F730" s="3">
        <v>5</v>
      </c>
      <c r="G730" s="3">
        <v>7440</v>
      </c>
      <c r="H730" s="3">
        <v>51</v>
      </c>
      <c r="I730" t="s">
        <v>18</v>
      </c>
      <c r="J730" t="s">
        <v>55</v>
      </c>
      <c r="K730" t="s">
        <v>37</v>
      </c>
      <c r="L730" t="s">
        <v>34</v>
      </c>
      <c r="M730" s="2">
        <v>0.3</v>
      </c>
      <c r="N730" t="s">
        <v>22</v>
      </c>
      <c r="O730" t="str">
        <f t="shared" si="23"/>
        <v>May</v>
      </c>
      <c r="P730" t="str">
        <f t="shared" si="22"/>
        <v>Middle-Aged</v>
      </c>
    </row>
    <row r="731" spans="1:16" x14ac:dyDescent="0.25">
      <c r="A731">
        <v>1730</v>
      </c>
      <c r="B731" s="1">
        <v>45028</v>
      </c>
      <c r="C731" t="s">
        <v>39</v>
      </c>
      <c r="D731" t="s">
        <v>40</v>
      </c>
      <c r="E731" s="3">
        <v>92</v>
      </c>
      <c r="F731" s="3">
        <v>5</v>
      </c>
      <c r="G731" s="3">
        <v>460</v>
      </c>
      <c r="H731" s="3">
        <v>26</v>
      </c>
      <c r="I731" t="s">
        <v>32</v>
      </c>
      <c r="J731" t="s">
        <v>60</v>
      </c>
      <c r="K731" t="s">
        <v>45</v>
      </c>
      <c r="L731" t="s">
        <v>21</v>
      </c>
      <c r="M731" s="2">
        <v>0.3</v>
      </c>
      <c r="N731" t="s">
        <v>22</v>
      </c>
      <c r="O731" t="str">
        <f t="shared" si="23"/>
        <v>April</v>
      </c>
      <c r="P731" t="str">
        <f t="shared" si="22"/>
        <v>Young Adult</v>
      </c>
    </row>
    <row r="732" spans="1:16" x14ac:dyDescent="0.25">
      <c r="A732">
        <v>1731</v>
      </c>
      <c r="B732" s="1">
        <v>45190</v>
      </c>
      <c r="C732" t="s">
        <v>30</v>
      </c>
      <c r="D732" t="s">
        <v>31</v>
      </c>
      <c r="E732" s="3">
        <v>975</v>
      </c>
      <c r="F732" s="3">
        <v>5</v>
      </c>
      <c r="G732" s="3">
        <v>4875</v>
      </c>
      <c r="H732" s="3">
        <v>22</v>
      </c>
      <c r="I732" t="s">
        <v>18</v>
      </c>
      <c r="J732" t="s">
        <v>26</v>
      </c>
      <c r="K732" t="s">
        <v>27</v>
      </c>
      <c r="L732" t="s">
        <v>47</v>
      </c>
      <c r="M732" s="2">
        <v>0.15</v>
      </c>
      <c r="N732" t="s">
        <v>29</v>
      </c>
      <c r="O732" t="str">
        <f t="shared" si="23"/>
        <v>September</v>
      </c>
      <c r="P732" t="str">
        <f t="shared" si="22"/>
        <v>Young Adult</v>
      </c>
    </row>
    <row r="733" spans="1:16" x14ac:dyDescent="0.25">
      <c r="A733">
        <v>1732</v>
      </c>
      <c r="B733" s="1">
        <v>45033</v>
      </c>
      <c r="C733" t="s">
        <v>24</v>
      </c>
      <c r="D733" t="s">
        <v>54</v>
      </c>
      <c r="E733" s="3">
        <v>1212</v>
      </c>
      <c r="F733" s="3">
        <v>2</v>
      </c>
      <c r="G733" s="3">
        <v>2424</v>
      </c>
      <c r="H733" s="3">
        <v>33</v>
      </c>
      <c r="I733" t="s">
        <v>32</v>
      </c>
      <c r="J733" t="s">
        <v>58</v>
      </c>
      <c r="K733" t="s">
        <v>27</v>
      </c>
      <c r="L733" t="s">
        <v>47</v>
      </c>
      <c r="M733" s="2">
        <v>0.05</v>
      </c>
      <c r="N733" t="s">
        <v>29</v>
      </c>
      <c r="O733" t="str">
        <f t="shared" si="23"/>
        <v>April</v>
      </c>
      <c r="P733" t="str">
        <f t="shared" si="22"/>
        <v>Adult</v>
      </c>
    </row>
    <row r="734" spans="1:16" x14ac:dyDescent="0.25">
      <c r="A734">
        <v>1733</v>
      </c>
      <c r="B734" s="1">
        <v>44965</v>
      </c>
      <c r="C734" t="s">
        <v>24</v>
      </c>
      <c r="D734" t="s">
        <v>76</v>
      </c>
      <c r="E734" s="3">
        <v>909</v>
      </c>
      <c r="F734" s="3">
        <v>2</v>
      </c>
      <c r="G734" s="3">
        <v>1818</v>
      </c>
      <c r="H734" s="3">
        <v>55</v>
      </c>
      <c r="I734" t="s">
        <v>18</v>
      </c>
      <c r="J734" t="s">
        <v>19</v>
      </c>
      <c r="K734" t="s">
        <v>42</v>
      </c>
      <c r="L734" t="s">
        <v>47</v>
      </c>
      <c r="M734" s="2">
        <v>0.3</v>
      </c>
      <c r="N734" t="s">
        <v>22</v>
      </c>
      <c r="O734" t="str">
        <f t="shared" si="23"/>
        <v>February</v>
      </c>
      <c r="P734" t="str">
        <f t="shared" si="22"/>
        <v>Middle-Aged</v>
      </c>
    </row>
    <row r="735" spans="1:16" x14ac:dyDescent="0.25">
      <c r="A735">
        <v>1734</v>
      </c>
      <c r="B735" s="1">
        <v>45129</v>
      </c>
      <c r="C735" t="s">
        <v>30</v>
      </c>
      <c r="D735" t="s">
        <v>79</v>
      </c>
      <c r="E735" s="3">
        <v>623</v>
      </c>
      <c r="F735" s="3">
        <v>1</v>
      </c>
      <c r="G735" s="3">
        <v>623</v>
      </c>
      <c r="H735" s="3">
        <v>50</v>
      </c>
      <c r="I735" t="s">
        <v>32</v>
      </c>
      <c r="J735" t="s">
        <v>51</v>
      </c>
      <c r="K735" t="s">
        <v>27</v>
      </c>
      <c r="L735" t="s">
        <v>28</v>
      </c>
      <c r="M735" s="2">
        <v>0.15</v>
      </c>
      <c r="N735" t="s">
        <v>22</v>
      </c>
      <c r="O735" t="str">
        <f t="shared" si="23"/>
        <v>July</v>
      </c>
      <c r="P735" t="str">
        <f t="shared" si="22"/>
        <v>Middle-Aged</v>
      </c>
    </row>
    <row r="736" spans="1:16" x14ac:dyDescent="0.25">
      <c r="A736">
        <v>1735</v>
      </c>
      <c r="B736" s="1">
        <v>45212</v>
      </c>
      <c r="C736" t="s">
        <v>16</v>
      </c>
      <c r="D736" t="s">
        <v>56</v>
      </c>
      <c r="E736" s="3">
        <v>432</v>
      </c>
      <c r="F736" s="3">
        <v>4</v>
      </c>
      <c r="G736" s="3">
        <v>1728</v>
      </c>
      <c r="H736" s="3">
        <v>48</v>
      </c>
      <c r="I736" t="s">
        <v>18</v>
      </c>
      <c r="J736" t="s">
        <v>51</v>
      </c>
      <c r="K736" t="s">
        <v>42</v>
      </c>
      <c r="L736" t="s">
        <v>47</v>
      </c>
      <c r="M736" s="2">
        <v>0.3</v>
      </c>
      <c r="N736" t="s">
        <v>22</v>
      </c>
      <c r="O736" t="str">
        <f t="shared" si="23"/>
        <v>October</v>
      </c>
      <c r="P736" t="str">
        <f t="shared" si="22"/>
        <v>Adult</v>
      </c>
    </row>
    <row r="737" spans="1:16" x14ac:dyDescent="0.25">
      <c r="A737">
        <v>1736</v>
      </c>
      <c r="B737" s="1">
        <v>44931</v>
      </c>
      <c r="C737" t="s">
        <v>24</v>
      </c>
      <c r="D737" t="s">
        <v>80</v>
      </c>
      <c r="E737" s="3">
        <v>556</v>
      </c>
      <c r="F737" s="3">
        <v>5</v>
      </c>
      <c r="G737" s="3">
        <v>2780</v>
      </c>
      <c r="H737" s="3">
        <v>32</v>
      </c>
      <c r="I737" t="s">
        <v>32</v>
      </c>
      <c r="J737" t="s">
        <v>43</v>
      </c>
      <c r="K737" t="s">
        <v>27</v>
      </c>
      <c r="L737" t="s">
        <v>47</v>
      </c>
      <c r="M737" s="2">
        <v>0.2</v>
      </c>
      <c r="N737" t="s">
        <v>22</v>
      </c>
      <c r="O737" t="str">
        <f t="shared" si="23"/>
        <v>January</v>
      </c>
      <c r="P737" t="str">
        <f t="shared" si="22"/>
        <v>Adult</v>
      </c>
    </row>
    <row r="738" spans="1:16" x14ac:dyDescent="0.25">
      <c r="A738">
        <v>1737</v>
      </c>
      <c r="B738" s="1">
        <v>45240</v>
      </c>
      <c r="C738" t="s">
        <v>16</v>
      </c>
      <c r="D738" t="s">
        <v>56</v>
      </c>
      <c r="E738" s="3">
        <v>852</v>
      </c>
      <c r="F738" s="3">
        <v>2</v>
      </c>
      <c r="G738" s="3">
        <v>1704</v>
      </c>
      <c r="H738" s="3">
        <v>39</v>
      </c>
      <c r="I738" t="s">
        <v>18</v>
      </c>
      <c r="J738" t="s">
        <v>48</v>
      </c>
      <c r="K738" t="s">
        <v>45</v>
      </c>
      <c r="L738" t="s">
        <v>47</v>
      </c>
      <c r="M738" s="2">
        <v>0.05</v>
      </c>
      <c r="N738" t="s">
        <v>29</v>
      </c>
      <c r="O738" t="str">
        <f t="shared" si="23"/>
        <v>November</v>
      </c>
      <c r="P738" t="str">
        <f t="shared" si="22"/>
        <v>Adult</v>
      </c>
    </row>
    <row r="739" spans="1:16" x14ac:dyDescent="0.25">
      <c r="A739">
        <v>1738</v>
      </c>
      <c r="B739" s="1">
        <v>45008</v>
      </c>
      <c r="C739" t="s">
        <v>39</v>
      </c>
      <c r="D739" t="s">
        <v>40</v>
      </c>
      <c r="E739" s="3">
        <v>511</v>
      </c>
      <c r="F739" s="3">
        <v>3</v>
      </c>
      <c r="G739" s="3">
        <v>1533</v>
      </c>
      <c r="H739" s="3">
        <v>33</v>
      </c>
      <c r="I739" t="s">
        <v>32</v>
      </c>
      <c r="J739" t="s">
        <v>41</v>
      </c>
      <c r="K739" t="s">
        <v>27</v>
      </c>
      <c r="L739" t="s">
        <v>38</v>
      </c>
      <c r="M739" s="2">
        <v>0.15</v>
      </c>
      <c r="N739" t="s">
        <v>22</v>
      </c>
      <c r="O739" t="str">
        <f t="shared" si="23"/>
        <v>March</v>
      </c>
      <c r="P739" t="str">
        <f t="shared" si="22"/>
        <v>Adult</v>
      </c>
    </row>
    <row r="740" spans="1:16" x14ac:dyDescent="0.25">
      <c r="A740">
        <v>1739</v>
      </c>
      <c r="B740" s="1">
        <v>45137</v>
      </c>
      <c r="C740" t="s">
        <v>16</v>
      </c>
      <c r="D740" t="s">
        <v>62</v>
      </c>
      <c r="E740" s="3">
        <v>827</v>
      </c>
      <c r="F740" s="3">
        <v>5</v>
      </c>
      <c r="G740" s="3">
        <v>4135</v>
      </c>
      <c r="H740" s="3">
        <v>24</v>
      </c>
      <c r="I740" t="s">
        <v>18</v>
      </c>
      <c r="J740" t="s">
        <v>63</v>
      </c>
      <c r="K740" t="s">
        <v>20</v>
      </c>
      <c r="L740" t="s">
        <v>21</v>
      </c>
      <c r="M740" s="2">
        <v>0.2</v>
      </c>
      <c r="N740" t="s">
        <v>22</v>
      </c>
      <c r="O740" t="str">
        <f t="shared" si="23"/>
        <v>July</v>
      </c>
      <c r="P740" t="str">
        <f t="shared" si="22"/>
        <v>Young Adult</v>
      </c>
    </row>
    <row r="741" spans="1:16" x14ac:dyDescent="0.25">
      <c r="A741">
        <v>1740</v>
      </c>
      <c r="B741" s="1">
        <v>45289</v>
      </c>
      <c r="C741" t="s">
        <v>35</v>
      </c>
      <c r="D741" t="s">
        <v>70</v>
      </c>
      <c r="E741" s="3">
        <v>164</v>
      </c>
      <c r="F741" s="3">
        <v>3</v>
      </c>
      <c r="G741" s="3">
        <v>492</v>
      </c>
      <c r="H741" s="3">
        <v>30</v>
      </c>
      <c r="I741" t="s">
        <v>32</v>
      </c>
      <c r="J741" t="s">
        <v>63</v>
      </c>
      <c r="K741" t="s">
        <v>42</v>
      </c>
      <c r="L741" t="s">
        <v>34</v>
      </c>
      <c r="M741" s="2">
        <v>0.3</v>
      </c>
      <c r="N741" t="s">
        <v>22</v>
      </c>
      <c r="O741" t="str">
        <f t="shared" si="23"/>
        <v>December</v>
      </c>
      <c r="P741" t="str">
        <f t="shared" si="22"/>
        <v>Adult</v>
      </c>
    </row>
    <row r="742" spans="1:16" x14ac:dyDescent="0.25">
      <c r="A742">
        <v>1741</v>
      </c>
      <c r="B742" s="1">
        <v>44991</v>
      </c>
      <c r="C742" t="s">
        <v>35</v>
      </c>
      <c r="D742" t="s">
        <v>70</v>
      </c>
      <c r="E742" s="3">
        <v>744</v>
      </c>
      <c r="F742" s="3">
        <v>1</v>
      </c>
      <c r="G742" s="3">
        <v>744</v>
      </c>
      <c r="H742" s="3">
        <v>19</v>
      </c>
      <c r="I742" t="s">
        <v>18</v>
      </c>
      <c r="J742" t="s">
        <v>43</v>
      </c>
      <c r="K742" t="s">
        <v>20</v>
      </c>
      <c r="L742" t="s">
        <v>47</v>
      </c>
      <c r="M742" s="2">
        <v>0.2</v>
      </c>
      <c r="N742" t="s">
        <v>22</v>
      </c>
      <c r="O742" t="str">
        <f t="shared" si="23"/>
        <v>March</v>
      </c>
      <c r="P742" t="str">
        <f t="shared" si="22"/>
        <v>Young Adult</v>
      </c>
    </row>
    <row r="743" spans="1:16" x14ac:dyDescent="0.25">
      <c r="A743">
        <v>1742</v>
      </c>
      <c r="B743" s="1">
        <v>45139</v>
      </c>
      <c r="C743" t="s">
        <v>24</v>
      </c>
      <c r="D743" t="s">
        <v>54</v>
      </c>
      <c r="E743" s="3">
        <v>149</v>
      </c>
      <c r="F743" s="3">
        <v>2</v>
      </c>
      <c r="G743" s="3">
        <v>298</v>
      </c>
      <c r="H743" s="3">
        <v>46</v>
      </c>
      <c r="I743" t="s">
        <v>18</v>
      </c>
      <c r="J743" t="s">
        <v>26</v>
      </c>
      <c r="K743" t="s">
        <v>42</v>
      </c>
      <c r="L743" t="s">
        <v>21</v>
      </c>
      <c r="M743" s="2">
        <v>0.15</v>
      </c>
      <c r="N743" t="s">
        <v>22</v>
      </c>
      <c r="O743" t="str">
        <f t="shared" si="23"/>
        <v>August</v>
      </c>
      <c r="P743" t="str">
        <f t="shared" si="22"/>
        <v>Adult</v>
      </c>
    </row>
    <row r="744" spans="1:16" x14ac:dyDescent="0.25">
      <c r="A744">
        <v>1743</v>
      </c>
      <c r="B744" s="1">
        <v>45161</v>
      </c>
      <c r="C744" t="s">
        <v>16</v>
      </c>
      <c r="D744" t="s">
        <v>83</v>
      </c>
      <c r="E744" s="3">
        <v>146</v>
      </c>
      <c r="F744" s="3">
        <v>1</v>
      </c>
      <c r="G744" s="3">
        <v>146</v>
      </c>
      <c r="H744" s="3">
        <v>48</v>
      </c>
      <c r="I744" t="s">
        <v>18</v>
      </c>
      <c r="J744" t="s">
        <v>26</v>
      </c>
      <c r="K744" t="s">
        <v>20</v>
      </c>
      <c r="L744" t="s">
        <v>28</v>
      </c>
      <c r="M744" s="2">
        <v>0.15</v>
      </c>
      <c r="N744" t="s">
        <v>29</v>
      </c>
      <c r="O744" t="str">
        <f t="shared" si="23"/>
        <v>August</v>
      </c>
      <c r="P744" t="str">
        <f t="shared" si="22"/>
        <v>Adult</v>
      </c>
    </row>
    <row r="745" spans="1:16" x14ac:dyDescent="0.25">
      <c r="A745">
        <v>1744</v>
      </c>
      <c r="B745" s="1">
        <v>45109</v>
      </c>
      <c r="C745" t="s">
        <v>35</v>
      </c>
      <c r="D745" t="s">
        <v>72</v>
      </c>
      <c r="E745" s="3">
        <v>154</v>
      </c>
      <c r="F745" s="3">
        <v>3</v>
      </c>
      <c r="G745" s="3">
        <v>462</v>
      </c>
      <c r="H745" s="3">
        <v>36</v>
      </c>
      <c r="I745" t="s">
        <v>32</v>
      </c>
      <c r="J745" t="s">
        <v>55</v>
      </c>
      <c r="K745" t="s">
        <v>20</v>
      </c>
      <c r="L745" t="s">
        <v>28</v>
      </c>
      <c r="M745" s="2">
        <v>0.15</v>
      </c>
      <c r="N745" t="s">
        <v>29</v>
      </c>
      <c r="O745" t="str">
        <f t="shared" si="23"/>
        <v>July</v>
      </c>
      <c r="P745" t="str">
        <f t="shared" si="22"/>
        <v>Adult</v>
      </c>
    </row>
    <row r="746" spans="1:16" x14ac:dyDescent="0.25">
      <c r="A746">
        <v>1745</v>
      </c>
      <c r="B746" s="1">
        <v>45129</v>
      </c>
      <c r="C746" t="s">
        <v>35</v>
      </c>
      <c r="D746" t="s">
        <v>74</v>
      </c>
      <c r="E746" s="3">
        <v>791</v>
      </c>
      <c r="F746" s="3">
        <v>2</v>
      </c>
      <c r="G746" s="3">
        <v>1582</v>
      </c>
      <c r="H746" s="3">
        <v>18</v>
      </c>
      <c r="I746" t="s">
        <v>18</v>
      </c>
      <c r="J746" t="s">
        <v>63</v>
      </c>
      <c r="K746" t="s">
        <v>33</v>
      </c>
      <c r="L746" t="s">
        <v>34</v>
      </c>
      <c r="M746" s="2">
        <v>0.05</v>
      </c>
      <c r="N746" t="s">
        <v>29</v>
      </c>
      <c r="O746" t="str">
        <f t="shared" si="23"/>
        <v>July</v>
      </c>
      <c r="P746" t="str">
        <f t="shared" si="22"/>
        <v>Young Adult</v>
      </c>
    </row>
    <row r="747" spans="1:16" x14ac:dyDescent="0.25">
      <c r="A747">
        <v>1746</v>
      </c>
      <c r="B747" s="1">
        <v>45074</v>
      </c>
      <c r="C747" t="s">
        <v>39</v>
      </c>
      <c r="D747" t="s">
        <v>61</v>
      </c>
      <c r="E747" s="3">
        <v>82</v>
      </c>
      <c r="F747" s="3">
        <v>5</v>
      </c>
      <c r="G747" s="3">
        <v>410</v>
      </c>
      <c r="H747" s="3">
        <v>35</v>
      </c>
      <c r="I747" t="s">
        <v>32</v>
      </c>
      <c r="J747" t="s">
        <v>41</v>
      </c>
      <c r="K747" t="s">
        <v>20</v>
      </c>
      <c r="L747" t="s">
        <v>21</v>
      </c>
      <c r="M747" s="2">
        <v>0.05</v>
      </c>
      <c r="N747" t="s">
        <v>22</v>
      </c>
      <c r="O747" t="str">
        <f t="shared" si="23"/>
        <v>May</v>
      </c>
      <c r="P747" t="str">
        <f t="shared" si="22"/>
        <v>Adult</v>
      </c>
    </row>
    <row r="748" spans="1:16" x14ac:dyDescent="0.25">
      <c r="A748">
        <v>1747</v>
      </c>
      <c r="B748" s="1">
        <v>45317</v>
      </c>
      <c r="C748" t="s">
        <v>16</v>
      </c>
      <c r="D748" t="s">
        <v>59</v>
      </c>
      <c r="E748" s="3">
        <v>1410</v>
      </c>
      <c r="F748" s="3">
        <v>1</v>
      </c>
      <c r="G748" s="3">
        <v>1410</v>
      </c>
      <c r="H748" s="3">
        <v>18</v>
      </c>
      <c r="I748" t="s">
        <v>18</v>
      </c>
      <c r="J748" t="s">
        <v>48</v>
      </c>
      <c r="K748" t="s">
        <v>27</v>
      </c>
      <c r="L748" t="s">
        <v>38</v>
      </c>
      <c r="M748" s="2">
        <v>0.15</v>
      </c>
      <c r="N748" t="s">
        <v>29</v>
      </c>
      <c r="O748" t="str">
        <f t="shared" si="23"/>
        <v>January</v>
      </c>
      <c r="P748" t="str">
        <f t="shared" si="22"/>
        <v>Young Adult</v>
      </c>
    </row>
    <row r="749" spans="1:16" x14ac:dyDescent="0.25">
      <c r="A749">
        <v>1748</v>
      </c>
      <c r="B749" s="1">
        <v>45238</v>
      </c>
      <c r="C749" t="s">
        <v>35</v>
      </c>
      <c r="D749" t="s">
        <v>36</v>
      </c>
      <c r="E749" s="3">
        <v>774</v>
      </c>
      <c r="F749" s="3">
        <v>3</v>
      </c>
      <c r="G749" s="3">
        <v>2322</v>
      </c>
      <c r="H749" s="3">
        <v>18</v>
      </c>
      <c r="I749" t="s">
        <v>32</v>
      </c>
      <c r="J749" t="s">
        <v>58</v>
      </c>
      <c r="K749" t="s">
        <v>37</v>
      </c>
      <c r="L749" t="s">
        <v>38</v>
      </c>
      <c r="M749" s="2">
        <v>0.1</v>
      </c>
      <c r="N749" t="s">
        <v>22</v>
      </c>
      <c r="O749" t="str">
        <f t="shared" si="23"/>
        <v>November</v>
      </c>
      <c r="P749" t="str">
        <f t="shared" si="22"/>
        <v>Young Adult</v>
      </c>
    </row>
    <row r="750" spans="1:16" x14ac:dyDescent="0.25">
      <c r="A750">
        <v>1749</v>
      </c>
      <c r="B750" s="1">
        <v>45181</v>
      </c>
      <c r="C750" t="s">
        <v>49</v>
      </c>
      <c r="D750" t="s">
        <v>81</v>
      </c>
      <c r="E750" s="3">
        <v>483</v>
      </c>
      <c r="F750" s="3">
        <v>3</v>
      </c>
      <c r="G750" s="3">
        <v>1449</v>
      </c>
      <c r="H750" s="3">
        <v>50</v>
      </c>
      <c r="I750" t="s">
        <v>32</v>
      </c>
      <c r="J750" t="s">
        <v>60</v>
      </c>
      <c r="K750" t="s">
        <v>45</v>
      </c>
      <c r="L750" t="s">
        <v>47</v>
      </c>
      <c r="M750" s="2">
        <v>0.05</v>
      </c>
      <c r="N750" t="s">
        <v>22</v>
      </c>
      <c r="O750" t="str">
        <f t="shared" si="23"/>
        <v>September</v>
      </c>
      <c r="P750" t="str">
        <f t="shared" si="22"/>
        <v>Middle-Aged</v>
      </c>
    </row>
    <row r="751" spans="1:16" x14ac:dyDescent="0.25">
      <c r="A751">
        <v>1750</v>
      </c>
      <c r="B751" s="1">
        <v>45320</v>
      </c>
      <c r="C751" t="s">
        <v>39</v>
      </c>
      <c r="D751" t="s">
        <v>68</v>
      </c>
      <c r="E751" s="3">
        <v>507</v>
      </c>
      <c r="F751" s="3">
        <v>5</v>
      </c>
      <c r="G751" s="3">
        <v>2535</v>
      </c>
      <c r="H751" s="3">
        <v>27</v>
      </c>
      <c r="I751" t="s">
        <v>18</v>
      </c>
      <c r="J751" t="s">
        <v>58</v>
      </c>
      <c r="K751" t="s">
        <v>45</v>
      </c>
      <c r="L751" t="s">
        <v>34</v>
      </c>
      <c r="M751" s="2">
        <v>0.2</v>
      </c>
      <c r="N751" t="s">
        <v>29</v>
      </c>
      <c r="O751" t="str">
        <f t="shared" si="23"/>
        <v>January</v>
      </c>
      <c r="P751" t="str">
        <f t="shared" si="22"/>
        <v>Young Adult</v>
      </c>
    </row>
    <row r="752" spans="1:16" x14ac:dyDescent="0.25">
      <c r="A752">
        <v>1751</v>
      </c>
      <c r="B752" s="1">
        <v>45116</v>
      </c>
      <c r="C752" t="s">
        <v>49</v>
      </c>
      <c r="D752" t="s">
        <v>66</v>
      </c>
      <c r="E752" s="3">
        <v>967</v>
      </c>
      <c r="F752" s="3">
        <v>2</v>
      </c>
      <c r="G752" s="3">
        <v>1934</v>
      </c>
      <c r="H752" s="3">
        <v>34</v>
      </c>
      <c r="I752" t="s">
        <v>32</v>
      </c>
      <c r="J752" t="s">
        <v>58</v>
      </c>
      <c r="K752" t="s">
        <v>27</v>
      </c>
      <c r="L752" t="s">
        <v>28</v>
      </c>
      <c r="M752" s="2">
        <v>0.2</v>
      </c>
      <c r="N752" t="s">
        <v>29</v>
      </c>
      <c r="O752" t="str">
        <f t="shared" si="23"/>
        <v>July</v>
      </c>
      <c r="P752" t="str">
        <f t="shared" si="22"/>
        <v>Adult</v>
      </c>
    </row>
    <row r="753" spans="1:16" x14ac:dyDescent="0.25">
      <c r="A753">
        <v>1752</v>
      </c>
      <c r="B753" s="1">
        <v>45287</v>
      </c>
      <c r="C753" t="s">
        <v>16</v>
      </c>
      <c r="D753" t="s">
        <v>56</v>
      </c>
      <c r="E753" s="3">
        <v>1213</v>
      </c>
      <c r="F753" s="3">
        <v>2</v>
      </c>
      <c r="G753" s="3">
        <v>2426</v>
      </c>
      <c r="H753" s="3">
        <v>55</v>
      </c>
      <c r="I753" t="s">
        <v>32</v>
      </c>
      <c r="J753" t="s">
        <v>19</v>
      </c>
      <c r="K753" t="s">
        <v>42</v>
      </c>
      <c r="L753" t="s">
        <v>21</v>
      </c>
      <c r="M753" s="2">
        <v>0.25</v>
      </c>
      <c r="N753" t="s">
        <v>29</v>
      </c>
      <c r="O753" t="str">
        <f t="shared" si="23"/>
        <v>December</v>
      </c>
      <c r="P753" t="str">
        <f t="shared" si="22"/>
        <v>Middle-Aged</v>
      </c>
    </row>
    <row r="754" spans="1:16" x14ac:dyDescent="0.25">
      <c r="A754">
        <v>1753</v>
      </c>
      <c r="B754" s="1">
        <v>44950</v>
      </c>
      <c r="C754" t="s">
        <v>16</v>
      </c>
      <c r="D754" t="s">
        <v>83</v>
      </c>
      <c r="E754" s="3">
        <v>238</v>
      </c>
      <c r="F754" s="3">
        <v>5</v>
      </c>
      <c r="G754" s="3">
        <v>1190</v>
      </c>
      <c r="H754" s="3">
        <v>59</v>
      </c>
      <c r="I754" t="s">
        <v>32</v>
      </c>
      <c r="J754" t="s">
        <v>58</v>
      </c>
      <c r="K754" t="s">
        <v>37</v>
      </c>
      <c r="L754" t="s">
        <v>28</v>
      </c>
      <c r="M754" s="2">
        <v>0.15</v>
      </c>
      <c r="N754" t="s">
        <v>29</v>
      </c>
      <c r="O754" t="str">
        <f t="shared" si="23"/>
        <v>January</v>
      </c>
      <c r="P754" t="str">
        <f t="shared" si="22"/>
        <v>Middle-Aged</v>
      </c>
    </row>
    <row r="755" spans="1:16" x14ac:dyDescent="0.25">
      <c r="A755">
        <v>1754</v>
      </c>
      <c r="B755" s="1">
        <v>45282</v>
      </c>
      <c r="C755" t="s">
        <v>52</v>
      </c>
      <c r="D755" t="s">
        <v>73</v>
      </c>
      <c r="E755" s="3">
        <v>629</v>
      </c>
      <c r="F755" s="3">
        <v>5</v>
      </c>
      <c r="G755" s="3">
        <v>3145</v>
      </c>
      <c r="H755" s="3">
        <v>54</v>
      </c>
      <c r="I755" t="s">
        <v>18</v>
      </c>
      <c r="J755" t="s">
        <v>43</v>
      </c>
      <c r="K755" t="s">
        <v>33</v>
      </c>
      <c r="L755" t="s">
        <v>21</v>
      </c>
      <c r="M755" s="2">
        <v>0.2</v>
      </c>
      <c r="N755" t="s">
        <v>22</v>
      </c>
      <c r="O755" t="str">
        <f t="shared" si="23"/>
        <v>December</v>
      </c>
      <c r="P755" t="str">
        <f t="shared" si="22"/>
        <v>Middle-Aged</v>
      </c>
    </row>
    <row r="756" spans="1:16" x14ac:dyDescent="0.25">
      <c r="A756">
        <v>1755</v>
      </c>
      <c r="B756" s="1">
        <v>45083</v>
      </c>
      <c r="C756" t="s">
        <v>35</v>
      </c>
      <c r="D756" t="s">
        <v>75</v>
      </c>
      <c r="E756" s="3">
        <v>77</v>
      </c>
      <c r="F756" s="3">
        <v>2</v>
      </c>
      <c r="G756" s="3">
        <v>154</v>
      </c>
      <c r="H756" s="3">
        <v>45</v>
      </c>
      <c r="I756" t="s">
        <v>32</v>
      </c>
      <c r="J756" t="s">
        <v>63</v>
      </c>
      <c r="K756" t="s">
        <v>42</v>
      </c>
      <c r="L756" t="s">
        <v>21</v>
      </c>
      <c r="M756" s="2">
        <v>0.2</v>
      </c>
      <c r="N756" t="s">
        <v>29</v>
      </c>
      <c r="O756" t="str">
        <f t="shared" si="23"/>
        <v>June</v>
      </c>
      <c r="P756" t="str">
        <f t="shared" si="22"/>
        <v>Adult</v>
      </c>
    </row>
    <row r="757" spans="1:16" x14ac:dyDescent="0.25">
      <c r="A757">
        <v>1756</v>
      </c>
      <c r="B757" s="1">
        <v>44940</v>
      </c>
      <c r="C757" t="s">
        <v>49</v>
      </c>
      <c r="D757" t="s">
        <v>57</v>
      </c>
      <c r="E757" s="3">
        <v>135</v>
      </c>
      <c r="F757" s="3">
        <v>1</v>
      </c>
      <c r="G757" s="3">
        <v>135</v>
      </c>
      <c r="H757" s="3">
        <v>50</v>
      </c>
      <c r="I757" t="s">
        <v>18</v>
      </c>
      <c r="J757" t="s">
        <v>26</v>
      </c>
      <c r="K757" t="s">
        <v>45</v>
      </c>
      <c r="L757" t="s">
        <v>28</v>
      </c>
      <c r="M757" s="2">
        <v>0.15</v>
      </c>
      <c r="N757" t="s">
        <v>22</v>
      </c>
      <c r="O757" t="str">
        <f t="shared" si="23"/>
        <v>January</v>
      </c>
      <c r="P757" t="str">
        <f t="shared" si="22"/>
        <v>Middle-Aged</v>
      </c>
    </row>
    <row r="758" spans="1:16" x14ac:dyDescent="0.25">
      <c r="A758">
        <v>1757</v>
      </c>
      <c r="B758" s="1">
        <v>45313</v>
      </c>
      <c r="C758" t="s">
        <v>52</v>
      </c>
      <c r="D758" t="s">
        <v>65</v>
      </c>
      <c r="E758" s="3">
        <v>804</v>
      </c>
      <c r="F758" s="3">
        <v>4</v>
      </c>
      <c r="G758" s="3">
        <v>3216</v>
      </c>
      <c r="H758" s="3">
        <v>37</v>
      </c>
      <c r="I758" t="s">
        <v>18</v>
      </c>
      <c r="J758" t="s">
        <v>63</v>
      </c>
      <c r="K758" t="s">
        <v>27</v>
      </c>
      <c r="L758" t="s">
        <v>34</v>
      </c>
      <c r="M758" s="2">
        <v>0.2</v>
      </c>
      <c r="N758" t="s">
        <v>29</v>
      </c>
      <c r="O758" t="str">
        <f t="shared" si="23"/>
        <v>January</v>
      </c>
      <c r="P758" t="str">
        <f t="shared" si="22"/>
        <v>Adult</v>
      </c>
    </row>
    <row r="759" spans="1:16" x14ac:dyDescent="0.25">
      <c r="A759">
        <v>1758</v>
      </c>
      <c r="B759" s="1">
        <v>45118</v>
      </c>
      <c r="C759" t="s">
        <v>52</v>
      </c>
      <c r="D759" t="s">
        <v>67</v>
      </c>
      <c r="E759" s="3">
        <v>569</v>
      </c>
      <c r="F759" s="3">
        <v>4</v>
      </c>
      <c r="G759" s="3">
        <v>2276</v>
      </c>
      <c r="H759" s="3">
        <v>25</v>
      </c>
      <c r="I759" t="s">
        <v>32</v>
      </c>
      <c r="J759" t="s">
        <v>60</v>
      </c>
      <c r="K759" t="s">
        <v>45</v>
      </c>
      <c r="L759" t="s">
        <v>21</v>
      </c>
      <c r="M759" s="2">
        <v>0.15</v>
      </c>
      <c r="N759" t="s">
        <v>22</v>
      </c>
      <c r="O759" t="str">
        <f t="shared" si="23"/>
        <v>July</v>
      </c>
      <c r="P759" t="str">
        <f t="shared" si="22"/>
        <v>Young Adult</v>
      </c>
    </row>
    <row r="760" spans="1:16" x14ac:dyDescent="0.25">
      <c r="A760">
        <v>1759</v>
      </c>
      <c r="B760" s="1">
        <v>45177</v>
      </c>
      <c r="C760" t="s">
        <v>35</v>
      </c>
      <c r="D760" t="s">
        <v>75</v>
      </c>
      <c r="E760" s="3">
        <v>1108</v>
      </c>
      <c r="F760" s="3">
        <v>5</v>
      </c>
      <c r="G760" s="3">
        <v>5540</v>
      </c>
      <c r="H760" s="3">
        <v>40</v>
      </c>
      <c r="I760" t="s">
        <v>32</v>
      </c>
      <c r="J760" t="s">
        <v>41</v>
      </c>
      <c r="K760" t="s">
        <v>42</v>
      </c>
      <c r="L760" t="s">
        <v>21</v>
      </c>
      <c r="M760" s="2">
        <v>0.1</v>
      </c>
      <c r="N760" t="s">
        <v>22</v>
      </c>
      <c r="O760" t="str">
        <f t="shared" si="23"/>
        <v>September</v>
      </c>
      <c r="P760" t="str">
        <f t="shared" si="22"/>
        <v>Adult</v>
      </c>
    </row>
    <row r="761" spans="1:16" x14ac:dyDescent="0.25">
      <c r="A761">
        <v>1760</v>
      </c>
      <c r="B761" s="1">
        <v>45193</v>
      </c>
      <c r="C761" t="s">
        <v>39</v>
      </c>
      <c r="D761" t="s">
        <v>68</v>
      </c>
      <c r="E761" s="3">
        <v>796</v>
      </c>
      <c r="F761" s="3">
        <v>3</v>
      </c>
      <c r="G761" s="3">
        <v>2388</v>
      </c>
      <c r="H761" s="3">
        <v>19</v>
      </c>
      <c r="I761" t="s">
        <v>32</v>
      </c>
      <c r="J761" t="s">
        <v>41</v>
      </c>
      <c r="K761" t="s">
        <v>33</v>
      </c>
      <c r="L761" t="s">
        <v>21</v>
      </c>
      <c r="M761" s="2">
        <v>0.15</v>
      </c>
      <c r="N761" t="s">
        <v>29</v>
      </c>
      <c r="O761" t="str">
        <f t="shared" si="23"/>
        <v>September</v>
      </c>
      <c r="P761" t="str">
        <f t="shared" si="22"/>
        <v>Young Adult</v>
      </c>
    </row>
    <row r="762" spans="1:16" x14ac:dyDescent="0.25">
      <c r="A762">
        <v>1761</v>
      </c>
      <c r="B762" s="1">
        <v>45198</v>
      </c>
      <c r="C762" t="s">
        <v>24</v>
      </c>
      <c r="D762" t="s">
        <v>25</v>
      </c>
      <c r="E762" s="3">
        <v>864</v>
      </c>
      <c r="F762" s="3">
        <v>1</v>
      </c>
      <c r="G762" s="3">
        <v>864</v>
      </c>
      <c r="H762" s="3">
        <v>45</v>
      </c>
      <c r="I762" t="s">
        <v>32</v>
      </c>
      <c r="J762" t="s">
        <v>48</v>
      </c>
      <c r="K762" t="s">
        <v>33</v>
      </c>
      <c r="L762" t="s">
        <v>38</v>
      </c>
      <c r="M762" s="2">
        <v>0.25</v>
      </c>
      <c r="N762" t="s">
        <v>29</v>
      </c>
      <c r="O762" t="str">
        <f t="shared" si="23"/>
        <v>September</v>
      </c>
      <c r="P762" t="str">
        <f t="shared" si="22"/>
        <v>Adult</v>
      </c>
    </row>
    <row r="763" spans="1:16" x14ac:dyDescent="0.25">
      <c r="A763">
        <v>1762</v>
      </c>
      <c r="B763" s="1">
        <v>45003</v>
      </c>
      <c r="C763" t="s">
        <v>52</v>
      </c>
      <c r="D763" t="s">
        <v>67</v>
      </c>
      <c r="E763" s="3">
        <v>97</v>
      </c>
      <c r="F763" s="3">
        <v>4</v>
      </c>
      <c r="G763" s="3">
        <v>388</v>
      </c>
      <c r="H763" s="3">
        <v>21</v>
      </c>
      <c r="I763" t="s">
        <v>18</v>
      </c>
      <c r="J763" t="s">
        <v>19</v>
      </c>
      <c r="K763" t="s">
        <v>45</v>
      </c>
      <c r="L763" t="s">
        <v>47</v>
      </c>
      <c r="M763" s="2">
        <v>0.2</v>
      </c>
      <c r="N763" t="s">
        <v>29</v>
      </c>
      <c r="O763" t="str">
        <f t="shared" si="23"/>
        <v>March</v>
      </c>
      <c r="P763" t="str">
        <f t="shared" si="22"/>
        <v>Young Adult</v>
      </c>
    </row>
    <row r="764" spans="1:16" x14ac:dyDescent="0.25">
      <c r="A764">
        <v>1763</v>
      </c>
      <c r="B764" s="1">
        <v>45057</v>
      </c>
      <c r="C764" t="s">
        <v>52</v>
      </c>
      <c r="D764" t="s">
        <v>67</v>
      </c>
      <c r="E764" s="3">
        <v>472</v>
      </c>
      <c r="F764" s="3">
        <v>1</v>
      </c>
      <c r="G764" s="3">
        <v>472</v>
      </c>
      <c r="H764" s="3">
        <v>46</v>
      </c>
      <c r="I764" t="s">
        <v>18</v>
      </c>
      <c r="J764" t="s">
        <v>19</v>
      </c>
      <c r="K764" t="s">
        <v>42</v>
      </c>
      <c r="L764" t="s">
        <v>28</v>
      </c>
      <c r="M764" s="2">
        <v>0.1</v>
      </c>
      <c r="N764" t="s">
        <v>29</v>
      </c>
      <c r="O764" t="str">
        <f t="shared" si="23"/>
        <v>May</v>
      </c>
      <c r="P764" t="str">
        <f t="shared" si="22"/>
        <v>Adult</v>
      </c>
    </row>
    <row r="765" spans="1:16" x14ac:dyDescent="0.25">
      <c r="A765">
        <v>1764</v>
      </c>
      <c r="B765" s="1">
        <v>45283</v>
      </c>
      <c r="C765" t="s">
        <v>39</v>
      </c>
      <c r="D765" t="s">
        <v>61</v>
      </c>
      <c r="E765" s="3">
        <v>501</v>
      </c>
      <c r="F765" s="3">
        <v>3</v>
      </c>
      <c r="G765" s="3">
        <v>1503</v>
      </c>
      <c r="H765" s="3">
        <v>42</v>
      </c>
      <c r="I765" t="s">
        <v>18</v>
      </c>
      <c r="J765" t="s">
        <v>19</v>
      </c>
      <c r="K765" t="s">
        <v>20</v>
      </c>
      <c r="L765" t="s">
        <v>34</v>
      </c>
      <c r="M765" s="2">
        <v>0.15</v>
      </c>
      <c r="N765" t="s">
        <v>22</v>
      </c>
      <c r="O765" t="str">
        <f t="shared" si="23"/>
        <v>December</v>
      </c>
      <c r="P765" t="str">
        <f t="shared" si="22"/>
        <v>Adult</v>
      </c>
    </row>
    <row r="766" spans="1:16" x14ac:dyDescent="0.25">
      <c r="A766">
        <v>1765</v>
      </c>
      <c r="B766" s="1">
        <v>45306</v>
      </c>
      <c r="C766" t="s">
        <v>30</v>
      </c>
      <c r="D766" t="s">
        <v>79</v>
      </c>
      <c r="E766" s="3">
        <v>55</v>
      </c>
      <c r="F766" s="3">
        <v>4</v>
      </c>
      <c r="G766" s="3">
        <v>220</v>
      </c>
      <c r="H766" s="3">
        <v>18</v>
      </c>
      <c r="I766" t="s">
        <v>18</v>
      </c>
      <c r="J766" t="s">
        <v>43</v>
      </c>
      <c r="K766" t="s">
        <v>33</v>
      </c>
      <c r="L766" t="s">
        <v>47</v>
      </c>
      <c r="M766" s="2">
        <v>0.15</v>
      </c>
      <c r="N766" t="s">
        <v>22</v>
      </c>
      <c r="O766" t="str">
        <f t="shared" si="23"/>
        <v>January</v>
      </c>
      <c r="P766" t="str">
        <f t="shared" si="22"/>
        <v>Young Adult</v>
      </c>
    </row>
    <row r="767" spans="1:16" x14ac:dyDescent="0.25">
      <c r="A767">
        <v>1766</v>
      </c>
      <c r="B767" s="1">
        <v>45040</v>
      </c>
      <c r="C767" t="s">
        <v>35</v>
      </c>
      <c r="D767" t="s">
        <v>36</v>
      </c>
      <c r="E767" s="3">
        <v>642</v>
      </c>
      <c r="F767" s="3">
        <v>2</v>
      </c>
      <c r="G767" s="3">
        <v>1284</v>
      </c>
      <c r="H767" s="3">
        <v>55</v>
      </c>
      <c r="I767" t="s">
        <v>32</v>
      </c>
      <c r="J767" t="s">
        <v>19</v>
      </c>
      <c r="K767" t="s">
        <v>37</v>
      </c>
      <c r="L767" t="s">
        <v>38</v>
      </c>
      <c r="M767" s="2">
        <v>0.25</v>
      </c>
      <c r="N767" t="s">
        <v>29</v>
      </c>
      <c r="O767" t="str">
        <f t="shared" si="23"/>
        <v>April</v>
      </c>
      <c r="P767" t="str">
        <f t="shared" si="22"/>
        <v>Middle-Aged</v>
      </c>
    </row>
    <row r="768" spans="1:16" x14ac:dyDescent="0.25">
      <c r="A768">
        <v>1767</v>
      </c>
      <c r="B768" s="1">
        <v>45031</v>
      </c>
      <c r="C768" t="s">
        <v>16</v>
      </c>
      <c r="D768" t="s">
        <v>83</v>
      </c>
      <c r="E768" s="3">
        <v>1246</v>
      </c>
      <c r="F768" s="3">
        <v>3</v>
      </c>
      <c r="G768" s="3">
        <v>3738</v>
      </c>
      <c r="H768" s="3">
        <v>49</v>
      </c>
      <c r="I768" t="s">
        <v>32</v>
      </c>
      <c r="J768" t="s">
        <v>48</v>
      </c>
      <c r="K768" t="s">
        <v>37</v>
      </c>
      <c r="L768" t="s">
        <v>47</v>
      </c>
      <c r="M768" s="2">
        <v>0.15</v>
      </c>
      <c r="N768" t="s">
        <v>22</v>
      </c>
      <c r="O768" t="str">
        <f t="shared" si="23"/>
        <v>April</v>
      </c>
      <c r="P768" t="str">
        <f t="shared" si="22"/>
        <v>Adult</v>
      </c>
    </row>
    <row r="769" spans="1:16" x14ac:dyDescent="0.25">
      <c r="A769">
        <v>1768</v>
      </c>
      <c r="B769" s="1">
        <v>45016</v>
      </c>
      <c r="C769" t="s">
        <v>24</v>
      </c>
      <c r="D769" t="s">
        <v>80</v>
      </c>
      <c r="E769" s="3">
        <v>401</v>
      </c>
      <c r="F769" s="3">
        <v>2</v>
      </c>
      <c r="G769" s="3">
        <v>802</v>
      </c>
      <c r="H769" s="3">
        <v>25</v>
      </c>
      <c r="I769" t="s">
        <v>32</v>
      </c>
      <c r="J769" t="s">
        <v>51</v>
      </c>
      <c r="K769" t="s">
        <v>45</v>
      </c>
      <c r="L769" t="s">
        <v>47</v>
      </c>
      <c r="M769" s="2">
        <v>0.25</v>
      </c>
      <c r="N769" t="s">
        <v>29</v>
      </c>
      <c r="O769" t="str">
        <f t="shared" si="23"/>
        <v>March</v>
      </c>
      <c r="P769" t="str">
        <f t="shared" si="22"/>
        <v>Young Adult</v>
      </c>
    </row>
    <row r="770" spans="1:16" x14ac:dyDescent="0.25">
      <c r="A770">
        <v>1769</v>
      </c>
      <c r="B770" s="1">
        <v>45032</v>
      </c>
      <c r="C770" t="s">
        <v>52</v>
      </c>
      <c r="D770" t="s">
        <v>73</v>
      </c>
      <c r="E770" s="3">
        <v>875</v>
      </c>
      <c r="F770" s="3">
        <v>1</v>
      </c>
      <c r="G770" s="3">
        <v>875</v>
      </c>
      <c r="H770" s="3">
        <v>25</v>
      </c>
      <c r="I770" t="s">
        <v>18</v>
      </c>
      <c r="J770" t="s">
        <v>26</v>
      </c>
      <c r="K770" t="s">
        <v>37</v>
      </c>
      <c r="L770" t="s">
        <v>38</v>
      </c>
      <c r="M770" s="2">
        <v>0.3</v>
      </c>
      <c r="N770" t="s">
        <v>29</v>
      </c>
      <c r="O770" t="str">
        <f t="shared" si="23"/>
        <v>April</v>
      </c>
      <c r="P770" t="str">
        <f t="shared" ref="P770:P833" si="24">IF(H770&lt;13, "Child", IF(H770&lt;18, "Teen", IF(H770&lt;30, "Young Adult", IF(H770&lt;50, "Adult", IF(H770&lt;65, "Middle-Aged", "Senior")))))</f>
        <v>Young Adult</v>
      </c>
    </row>
    <row r="771" spans="1:16" x14ac:dyDescent="0.25">
      <c r="A771">
        <v>1770</v>
      </c>
      <c r="B771" s="1">
        <v>44949</v>
      </c>
      <c r="C771" t="s">
        <v>52</v>
      </c>
      <c r="D771" t="s">
        <v>67</v>
      </c>
      <c r="E771" s="3">
        <v>505</v>
      </c>
      <c r="F771" s="3">
        <v>5</v>
      </c>
      <c r="G771" s="3">
        <v>2525</v>
      </c>
      <c r="H771" s="3">
        <v>52</v>
      </c>
      <c r="I771" t="s">
        <v>32</v>
      </c>
      <c r="J771" t="s">
        <v>60</v>
      </c>
      <c r="K771" t="s">
        <v>27</v>
      </c>
      <c r="L771" t="s">
        <v>21</v>
      </c>
      <c r="M771" s="2">
        <v>0.3</v>
      </c>
      <c r="N771" t="s">
        <v>22</v>
      </c>
      <c r="O771" t="str">
        <f t="shared" ref="O771:O834" si="25">TEXT(B771, "MMMM")</f>
        <v>January</v>
      </c>
      <c r="P771" t="str">
        <f t="shared" si="24"/>
        <v>Middle-Aged</v>
      </c>
    </row>
    <row r="772" spans="1:16" x14ac:dyDescent="0.25">
      <c r="A772">
        <v>1771</v>
      </c>
      <c r="B772" s="1">
        <v>45282</v>
      </c>
      <c r="C772" t="s">
        <v>52</v>
      </c>
      <c r="D772" t="s">
        <v>65</v>
      </c>
      <c r="E772" s="3">
        <v>1316</v>
      </c>
      <c r="F772" s="3">
        <v>3</v>
      </c>
      <c r="G772" s="3">
        <v>3948</v>
      </c>
      <c r="H772" s="3">
        <v>20</v>
      </c>
      <c r="I772" t="s">
        <v>32</v>
      </c>
      <c r="J772" t="s">
        <v>63</v>
      </c>
      <c r="K772" t="s">
        <v>37</v>
      </c>
      <c r="L772" t="s">
        <v>38</v>
      </c>
      <c r="M772" s="2">
        <v>0.3</v>
      </c>
      <c r="N772" t="s">
        <v>29</v>
      </c>
      <c r="O772" t="str">
        <f t="shared" si="25"/>
        <v>December</v>
      </c>
      <c r="P772" t="str">
        <f t="shared" si="24"/>
        <v>Young Adult</v>
      </c>
    </row>
    <row r="773" spans="1:16" x14ac:dyDescent="0.25">
      <c r="A773">
        <v>1772</v>
      </c>
      <c r="B773" s="1">
        <v>45142</v>
      </c>
      <c r="C773" t="s">
        <v>30</v>
      </c>
      <c r="D773" t="s">
        <v>44</v>
      </c>
      <c r="E773" s="3">
        <v>316</v>
      </c>
      <c r="F773" s="3">
        <v>3</v>
      </c>
      <c r="G773" s="3">
        <v>948</v>
      </c>
      <c r="H773" s="3">
        <v>35</v>
      </c>
      <c r="I773" t="s">
        <v>18</v>
      </c>
      <c r="J773" t="s">
        <v>43</v>
      </c>
      <c r="K773" t="s">
        <v>27</v>
      </c>
      <c r="L773" t="s">
        <v>21</v>
      </c>
      <c r="M773" s="2">
        <v>0.1</v>
      </c>
      <c r="N773" t="s">
        <v>29</v>
      </c>
      <c r="O773" t="str">
        <f t="shared" si="25"/>
        <v>August</v>
      </c>
      <c r="P773" t="str">
        <f t="shared" si="24"/>
        <v>Adult</v>
      </c>
    </row>
    <row r="774" spans="1:16" x14ac:dyDescent="0.25">
      <c r="A774">
        <v>1773</v>
      </c>
      <c r="B774" s="1">
        <v>45220</v>
      </c>
      <c r="C774" t="s">
        <v>49</v>
      </c>
      <c r="D774" t="s">
        <v>81</v>
      </c>
      <c r="E774" s="3">
        <v>136</v>
      </c>
      <c r="F774" s="3">
        <v>3</v>
      </c>
      <c r="G774" s="3">
        <v>408</v>
      </c>
      <c r="H774" s="3">
        <v>18</v>
      </c>
      <c r="I774" t="s">
        <v>18</v>
      </c>
      <c r="J774" t="s">
        <v>51</v>
      </c>
      <c r="K774" t="s">
        <v>20</v>
      </c>
      <c r="L774" t="s">
        <v>38</v>
      </c>
      <c r="M774" s="2">
        <v>0.1</v>
      </c>
      <c r="N774" t="s">
        <v>29</v>
      </c>
      <c r="O774" t="str">
        <f t="shared" si="25"/>
        <v>October</v>
      </c>
      <c r="P774" t="str">
        <f t="shared" si="24"/>
        <v>Young Adult</v>
      </c>
    </row>
    <row r="775" spans="1:16" x14ac:dyDescent="0.25">
      <c r="A775">
        <v>1774</v>
      </c>
      <c r="B775" s="1">
        <v>45261</v>
      </c>
      <c r="C775" t="s">
        <v>30</v>
      </c>
      <c r="D775" t="s">
        <v>79</v>
      </c>
      <c r="E775" s="3">
        <v>56</v>
      </c>
      <c r="F775" s="3">
        <v>4</v>
      </c>
      <c r="G775" s="3">
        <v>224</v>
      </c>
      <c r="H775" s="3">
        <v>18</v>
      </c>
      <c r="I775" t="s">
        <v>18</v>
      </c>
      <c r="J775" t="s">
        <v>51</v>
      </c>
      <c r="K775" t="s">
        <v>42</v>
      </c>
      <c r="L775" t="s">
        <v>38</v>
      </c>
      <c r="M775" s="2">
        <v>0.3</v>
      </c>
      <c r="N775" t="s">
        <v>22</v>
      </c>
      <c r="O775" t="str">
        <f t="shared" si="25"/>
        <v>December</v>
      </c>
      <c r="P775" t="str">
        <f t="shared" si="24"/>
        <v>Young Adult</v>
      </c>
    </row>
    <row r="776" spans="1:16" x14ac:dyDescent="0.25">
      <c r="A776">
        <v>1775</v>
      </c>
      <c r="B776" s="1">
        <v>45183</v>
      </c>
      <c r="C776" t="s">
        <v>49</v>
      </c>
      <c r="D776" t="s">
        <v>50</v>
      </c>
      <c r="E776" s="3">
        <v>1235</v>
      </c>
      <c r="F776" s="3">
        <v>3</v>
      </c>
      <c r="G776" s="3">
        <v>3705</v>
      </c>
      <c r="H776" s="3">
        <v>26</v>
      </c>
      <c r="I776" t="s">
        <v>32</v>
      </c>
      <c r="J776" t="s">
        <v>60</v>
      </c>
      <c r="K776" t="s">
        <v>42</v>
      </c>
      <c r="L776" t="s">
        <v>34</v>
      </c>
      <c r="M776" s="2">
        <v>0.05</v>
      </c>
      <c r="N776" t="s">
        <v>29</v>
      </c>
      <c r="O776" t="str">
        <f t="shared" si="25"/>
        <v>September</v>
      </c>
      <c r="P776" t="str">
        <f t="shared" si="24"/>
        <v>Young Adult</v>
      </c>
    </row>
    <row r="777" spans="1:16" x14ac:dyDescent="0.25">
      <c r="A777">
        <v>1776</v>
      </c>
      <c r="B777" s="1">
        <v>45206</v>
      </c>
      <c r="C777" t="s">
        <v>35</v>
      </c>
      <c r="D777" t="s">
        <v>36</v>
      </c>
      <c r="E777" s="3">
        <v>604</v>
      </c>
      <c r="F777" s="3">
        <v>1</v>
      </c>
      <c r="G777" s="3">
        <v>604</v>
      </c>
      <c r="H777" s="3">
        <v>60</v>
      </c>
      <c r="I777" t="s">
        <v>32</v>
      </c>
      <c r="J777" t="s">
        <v>58</v>
      </c>
      <c r="K777" t="s">
        <v>45</v>
      </c>
      <c r="L777" t="s">
        <v>28</v>
      </c>
      <c r="M777" s="2">
        <v>0.15</v>
      </c>
      <c r="N777" t="s">
        <v>22</v>
      </c>
      <c r="O777" t="str">
        <f t="shared" si="25"/>
        <v>October</v>
      </c>
      <c r="P777" t="str">
        <f t="shared" si="24"/>
        <v>Middle-Aged</v>
      </c>
    </row>
    <row r="778" spans="1:16" x14ac:dyDescent="0.25">
      <c r="A778">
        <v>1777</v>
      </c>
      <c r="B778" s="1">
        <v>45161</v>
      </c>
      <c r="C778" t="s">
        <v>39</v>
      </c>
      <c r="D778" t="s">
        <v>78</v>
      </c>
      <c r="E778" s="3">
        <v>410</v>
      </c>
      <c r="F778" s="3">
        <v>5</v>
      </c>
      <c r="G778" s="3">
        <v>2050</v>
      </c>
      <c r="H778" s="3">
        <v>33</v>
      </c>
      <c r="I778" t="s">
        <v>18</v>
      </c>
      <c r="J778" t="s">
        <v>41</v>
      </c>
      <c r="K778" t="s">
        <v>37</v>
      </c>
      <c r="L778" t="s">
        <v>28</v>
      </c>
      <c r="M778" s="2">
        <v>0.1</v>
      </c>
      <c r="N778" t="s">
        <v>22</v>
      </c>
      <c r="O778" t="str">
        <f t="shared" si="25"/>
        <v>August</v>
      </c>
      <c r="P778" t="str">
        <f t="shared" si="24"/>
        <v>Adult</v>
      </c>
    </row>
    <row r="779" spans="1:16" x14ac:dyDescent="0.25">
      <c r="A779">
        <v>1778</v>
      </c>
      <c r="B779" s="1">
        <v>45304</v>
      </c>
      <c r="C779" t="s">
        <v>35</v>
      </c>
      <c r="D779" t="s">
        <v>36</v>
      </c>
      <c r="E779" s="3">
        <v>798</v>
      </c>
      <c r="F779" s="3">
        <v>5</v>
      </c>
      <c r="G779" s="3">
        <v>3990</v>
      </c>
      <c r="H779" s="3">
        <v>26</v>
      </c>
      <c r="I779" t="s">
        <v>32</v>
      </c>
      <c r="J779" t="s">
        <v>51</v>
      </c>
      <c r="K779" t="s">
        <v>27</v>
      </c>
      <c r="L779" t="s">
        <v>47</v>
      </c>
      <c r="M779" s="2">
        <v>0.25</v>
      </c>
      <c r="N779" t="s">
        <v>29</v>
      </c>
      <c r="O779" t="str">
        <f t="shared" si="25"/>
        <v>January</v>
      </c>
      <c r="P779" t="str">
        <f t="shared" si="24"/>
        <v>Young Adult</v>
      </c>
    </row>
    <row r="780" spans="1:16" x14ac:dyDescent="0.25">
      <c r="A780">
        <v>1779</v>
      </c>
      <c r="B780" s="1">
        <v>45047</v>
      </c>
      <c r="C780" t="s">
        <v>16</v>
      </c>
      <c r="D780" t="s">
        <v>83</v>
      </c>
      <c r="E780" s="3">
        <v>647</v>
      </c>
      <c r="F780" s="3">
        <v>4</v>
      </c>
      <c r="G780" s="3">
        <v>2588</v>
      </c>
      <c r="H780" s="3">
        <v>56</v>
      </c>
      <c r="I780" t="s">
        <v>32</v>
      </c>
      <c r="J780" t="s">
        <v>19</v>
      </c>
      <c r="K780" t="s">
        <v>33</v>
      </c>
      <c r="L780" t="s">
        <v>38</v>
      </c>
      <c r="M780" s="2">
        <v>0.25</v>
      </c>
      <c r="N780" t="s">
        <v>22</v>
      </c>
      <c r="O780" t="str">
        <f t="shared" si="25"/>
        <v>May</v>
      </c>
      <c r="P780" t="str">
        <f t="shared" si="24"/>
        <v>Middle-Aged</v>
      </c>
    </row>
    <row r="781" spans="1:16" x14ac:dyDescent="0.25">
      <c r="A781">
        <v>1780</v>
      </c>
      <c r="B781" s="1">
        <v>45250</v>
      </c>
      <c r="C781" t="s">
        <v>52</v>
      </c>
      <c r="D781" t="s">
        <v>65</v>
      </c>
      <c r="E781" s="3">
        <v>632</v>
      </c>
      <c r="F781" s="3">
        <v>2</v>
      </c>
      <c r="G781" s="3">
        <v>1264</v>
      </c>
      <c r="H781" s="3">
        <v>34</v>
      </c>
      <c r="I781" t="s">
        <v>18</v>
      </c>
      <c r="J781" t="s">
        <v>63</v>
      </c>
      <c r="K781" t="s">
        <v>33</v>
      </c>
      <c r="L781" t="s">
        <v>34</v>
      </c>
      <c r="M781" s="2">
        <v>0.15</v>
      </c>
      <c r="N781" t="s">
        <v>22</v>
      </c>
      <c r="O781" t="str">
        <f t="shared" si="25"/>
        <v>November</v>
      </c>
      <c r="P781" t="str">
        <f t="shared" si="24"/>
        <v>Adult</v>
      </c>
    </row>
    <row r="782" spans="1:16" x14ac:dyDescent="0.25">
      <c r="A782">
        <v>1781</v>
      </c>
      <c r="B782" s="1">
        <v>45147</v>
      </c>
      <c r="C782" t="s">
        <v>49</v>
      </c>
      <c r="D782" t="s">
        <v>66</v>
      </c>
      <c r="E782" s="3">
        <v>185</v>
      </c>
      <c r="F782" s="3">
        <v>1</v>
      </c>
      <c r="G782" s="3">
        <v>185</v>
      </c>
      <c r="H782" s="3">
        <v>27</v>
      </c>
      <c r="I782" t="s">
        <v>32</v>
      </c>
      <c r="J782" t="s">
        <v>55</v>
      </c>
      <c r="K782" t="s">
        <v>20</v>
      </c>
      <c r="L782" t="s">
        <v>34</v>
      </c>
      <c r="M782" s="2">
        <v>0.2</v>
      </c>
      <c r="N782" t="s">
        <v>22</v>
      </c>
      <c r="O782" t="str">
        <f t="shared" si="25"/>
        <v>August</v>
      </c>
      <c r="P782" t="str">
        <f t="shared" si="24"/>
        <v>Young Adult</v>
      </c>
    </row>
    <row r="783" spans="1:16" x14ac:dyDescent="0.25">
      <c r="A783">
        <v>1782</v>
      </c>
      <c r="B783" s="1">
        <v>45033</v>
      </c>
      <c r="C783" t="s">
        <v>52</v>
      </c>
      <c r="D783" t="s">
        <v>53</v>
      </c>
      <c r="E783" s="3">
        <v>1215</v>
      </c>
      <c r="F783" s="3">
        <v>1</v>
      </c>
      <c r="G783" s="3">
        <v>1215</v>
      </c>
      <c r="H783" s="3">
        <v>26</v>
      </c>
      <c r="I783" t="s">
        <v>32</v>
      </c>
      <c r="J783" t="s">
        <v>43</v>
      </c>
      <c r="K783" t="s">
        <v>45</v>
      </c>
      <c r="L783" t="s">
        <v>34</v>
      </c>
      <c r="M783" s="2">
        <v>0.3</v>
      </c>
      <c r="N783" t="s">
        <v>29</v>
      </c>
      <c r="O783" t="str">
        <f t="shared" si="25"/>
        <v>April</v>
      </c>
      <c r="P783" t="str">
        <f t="shared" si="24"/>
        <v>Young Adult</v>
      </c>
    </row>
    <row r="784" spans="1:16" x14ac:dyDescent="0.25">
      <c r="A784">
        <v>1783</v>
      </c>
      <c r="B784" s="1">
        <v>45122</v>
      </c>
      <c r="C784" t="s">
        <v>24</v>
      </c>
      <c r="D784" t="s">
        <v>84</v>
      </c>
      <c r="E784" s="3">
        <v>1388</v>
      </c>
      <c r="F784" s="3">
        <v>1</v>
      </c>
      <c r="G784" s="3">
        <v>1388</v>
      </c>
      <c r="H784" s="3">
        <v>25</v>
      </c>
      <c r="I784" t="s">
        <v>18</v>
      </c>
      <c r="J784" t="s">
        <v>51</v>
      </c>
      <c r="K784" t="s">
        <v>37</v>
      </c>
      <c r="L784" t="s">
        <v>21</v>
      </c>
      <c r="M784" s="2">
        <v>0.05</v>
      </c>
      <c r="N784" t="s">
        <v>29</v>
      </c>
      <c r="O784" t="str">
        <f t="shared" si="25"/>
        <v>July</v>
      </c>
      <c r="P784" t="str">
        <f t="shared" si="24"/>
        <v>Young Adult</v>
      </c>
    </row>
    <row r="785" spans="1:16" x14ac:dyDescent="0.25">
      <c r="A785">
        <v>1784</v>
      </c>
      <c r="B785" s="1">
        <v>45024</v>
      </c>
      <c r="C785" t="s">
        <v>16</v>
      </c>
      <c r="D785" t="s">
        <v>83</v>
      </c>
      <c r="E785" s="3">
        <v>1283</v>
      </c>
      <c r="F785" s="3">
        <v>4</v>
      </c>
      <c r="G785" s="3">
        <v>5132</v>
      </c>
      <c r="H785" s="3">
        <v>48</v>
      </c>
      <c r="I785" t="s">
        <v>32</v>
      </c>
      <c r="J785" t="s">
        <v>60</v>
      </c>
      <c r="K785" t="s">
        <v>45</v>
      </c>
      <c r="L785" t="s">
        <v>28</v>
      </c>
      <c r="M785" s="2">
        <v>0.3</v>
      </c>
      <c r="N785" t="s">
        <v>22</v>
      </c>
      <c r="O785" t="str">
        <f t="shared" si="25"/>
        <v>April</v>
      </c>
      <c r="P785" t="str">
        <f t="shared" si="24"/>
        <v>Adult</v>
      </c>
    </row>
    <row r="786" spans="1:16" x14ac:dyDescent="0.25">
      <c r="A786">
        <v>1785</v>
      </c>
      <c r="B786" s="1">
        <v>45182</v>
      </c>
      <c r="C786" t="s">
        <v>39</v>
      </c>
      <c r="D786" t="s">
        <v>61</v>
      </c>
      <c r="E786" s="3">
        <v>539</v>
      </c>
      <c r="F786" s="3">
        <v>2</v>
      </c>
      <c r="G786" s="3">
        <v>1078</v>
      </c>
      <c r="H786" s="3">
        <v>54</v>
      </c>
      <c r="I786" t="s">
        <v>18</v>
      </c>
      <c r="J786" t="s">
        <v>51</v>
      </c>
      <c r="K786" t="s">
        <v>33</v>
      </c>
      <c r="L786" t="s">
        <v>34</v>
      </c>
      <c r="M786" s="2">
        <v>0.25</v>
      </c>
      <c r="N786" t="s">
        <v>22</v>
      </c>
      <c r="O786" t="str">
        <f t="shared" si="25"/>
        <v>September</v>
      </c>
      <c r="P786" t="str">
        <f t="shared" si="24"/>
        <v>Middle-Aged</v>
      </c>
    </row>
    <row r="787" spans="1:16" x14ac:dyDescent="0.25">
      <c r="A787">
        <v>1786</v>
      </c>
      <c r="B787" s="1">
        <v>44935</v>
      </c>
      <c r="C787" t="s">
        <v>49</v>
      </c>
      <c r="D787" t="s">
        <v>81</v>
      </c>
      <c r="E787" s="3">
        <v>673</v>
      </c>
      <c r="F787" s="3">
        <v>1</v>
      </c>
      <c r="G787" s="3">
        <v>673</v>
      </c>
      <c r="H787" s="3">
        <v>18</v>
      </c>
      <c r="I787" t="s">
        <v>32</v>
      </c>
      <c r="J787" t="s">
        <v>60</v>
      </c>
      <c r="K787" t="s">
        <v>27</v>
      </c>
      <c r="L787" t="s">
        <v>21</v>
      </c>
      <c r="M787" s="2">
        <v>0.1</v>
      </c>
      <c r="N787" t="s">
        <v>22</v>
      </c>
      <c r="O787" t="str">
        <f t="shared" si="25"/>
        <v>January</v>
      </c>
      <c r="P787" t="str">
        <f t="shared" si="24"/>
        <v>Young Adult</v>
      </c>
    </row>
    <row r="788" spans="1:16" x14ac:dyDescent="0.25">
      <c r="A788">
        <v>1787</v>
      </c>
      <c r="B788" s="1">
        <v>45169</v>
      </c>
      <c r="C788" t="s">
        <v>49</v>
      </c>
      <c r="D788" t="s">
        <v>66</v>
      </c>
      <c r="E788" s="3">
        <v>972</v>
      </c>
      <c r="F788" s="3">
        <v>3</v>
      </c>
      <c r="G788" s="3">
        <v>2916</v>
      </c>
      <c r="H788" s="3">
        <v>34</v>
      </c>
      <c r="I788" t="s">
        <v>32</v>
      </c>
      <c r="J788" t="s">
        <v>19</v>
      </c>
      <c r="K788" t="s">
        <v>20</v>
      </c>
      <c r="L788" t="s">
        <v>38</v>
      </c>
      <c r="M788" s="2">
        <v>0.15</v>
      </c>
      <c r="N788" t="s">
        <v>22</v>
      </c>
      <c r="O788" t="str">
        <f t="shared" si="25"/>
        <v>August</v>
      </c>
      <c r="P788" t="str">
        <f t="shared" si="24"/>
        <v>Adult</v>
      </c>
    </row>
    <row r="789" spans="1:16" x14ac:dyDescent="0.25">
      <c r="A789">
        <v>1788</v>
      </c>
      <c r="B789" s="1">
        <v>45111</v>
      </c>
      <c r="C789" t="s">
        <v>39</v>
      </c>
      <c r="D789" t="s">
        <v>40</v>
      </c>
      <c r="E789" s="3">
        <v>385</v>
      </c>
      <c r="F789" s="3">
        <v>5</v>
      </c>
      <c r="G789" s="3">
        <v>1925</v>
      </c>
      <c r="H789" s="3">
        <v>52</v>
      </c>
      <c r="I789" t="s">
        <v>32</v>
      </c>
      <c r="J789" t="s">
        <v>63</v>
      </c>
      <c r="K789" t="s">
        <v>20</v>
      </c>
      <c r="L789" t="s">
        <v>28</v>
      </c>
      <c r="M789" s="2">
        <v>0.25</v>
      </c>
      <c r="N789" t="s">
        <v>22</v>
      </c>
      <c r="O789" t="str">
        <f t="shared" si="25"/>
        <v>July</v>
      </c>
      <c r="P789" t="str">
        <f t="shared" si="24"/>
        <v>Middle-Aged</v>
      </c>
    </row>
    <row r="790" spans="1:16" x14ac:dyDescent="0.25">
      <c r="A790">
        <v>1789</v>
      </c>
      <c r="B790" s="1">
        <v>44935</v>
      </c>
      <c r="C790" t="s">
        <v>52</v>
      </c>
      <c r="D790" t="s">
        <v>65</v>
      </c>
      <c r="E790" s="3">
        <v>384</v>
      </c>
      <c r="F790" s="3">
        <v>4</v>
      </c>
      <c r="G790" s="3">
        <v>1536</v>
      </c>
      <c r="H790" s="3">
        <v>57</v>
      </c>
      <c r="I790" t="s">
        <v>32</v>
      </c>
      <c r="J790" t="s">
        <v>60</v>
      </c>
      <c r="K790" t="s">
        <v>45</v>
      </c>
      <c r="L790" t="s">
        <v>47</v>
      </c>
      <c r="M790" s="2">
        <v>0.25</v>
      </c>
      <c r="N790" t="s">
        <v>22</v>
      </c>
      <c r="O790" t="str">
        <f t="shared" si="25"/>
        <v>January</v>
      </c>
      <c r="P790" t="str">
        <f t="shared" si="24"/>
        <v>Middle-Aged</v>
      </c>
    </row>
    <row r="791" spans="1:16" x14ac:dyDescent="0.25">
      <c r="A791">
        <v>1790</v>
      </c>
      <c r="B791" s="1">
        <v>45070</v>
      </c>
      <c r="C791" t="s">
        <v>30</v>
      </c>
      <c r="D791" t="s">
        <v>44</v>
      </c>
      <c r="E791" s="3">
        <v>1213</v>
      </c>
      <c r="F791" s="3">
        <v>5</v>
      </c>
      <c r="G791" s="3">
        <v>6065</v>
      </c>
      <c r="H791" s="3">
        <v>40</v>
      </c>
      <c r="I791" t="s">
        <v>18</v>
      </c>
      <c r="J791" t="s">
        <v>43</v>
      </c>
      <c r="K791" t="s">
        <v>45</v>
      </c>
      <c r="L791" t="s">
        <v>28</v>
      </c>
      <c r="M791" s="2">
        <v>0.05</v>
      </c>
      <c r="N791" t="s">
        <v>29</v>
      </c>
      <c r="O791" t="str">
        <f t="shared" si="25"/>
        <v>May</v>
      </c>
      <c r="P791" t="str">
        <f t="shared" si="24"/>
        <v>Adult</v>
      </c>
    </row>
    <row r="792" spans="1:16" x14ac:dyDescent="0.25">
      <c r="A792">
        <v>1791</v>
      </c>
      <c r="B792" s="1">
        <v>45257</v>
      </c>
      <c r="C792" t="s">
        <v>39</v>
      </c>
      <c r="D792" t="s">
        <v>78</v>
      </c>
      <c r="E792" s="3">
        <v>1121</v>
      </c>
      <c r="F792" s="3">
        <v>1</v>
      </c>
      <c r="G792" s="3">
        <v>1121</v>
      </c>
      <c r="H792" s="3">
        <v>43</v>
      </c>
      <c r="I792" t="s">
        <v>18</v>
      </c>
      <c r="J792" t="s">
        <v>19</v>
      </c>
      <c r="K792" t="s">
        <v>45</v>
      </c>
      <c r="L792" t="s">
        <v>38</v>
      </c>
      <c r="M792" s="2">
        <v>0.15</v>
      </c>
      <c r="N792" t="s">
        <v>29</v>
      </c>
      <c r="O792" t="str">
        <f t="shared" si="25"/>
        <v>November</v>
      </c>
      <c r="P792" t="str">
        <f t="shared" si="24"/>
        <v>Adult</v>
      </c>
    </row>
    <row r="793" spans="1:16" x14ac:dyDescent="0.25">
      <c r="A793">
        <v>1792</v>
      </c>
      <c r="B793" s="1">
        <v>45176</v>
      </c>
      <c r="C793" t="s">
        <v>49</v>
      </c>
      <c r="D793" t="s">
        <v>50</v>
      </c>
      <c r="E793" s="3">
        <v>966</v>
      </c>
      <c r="F793" s="3">
        <v>5</v>
      </c>
      <c r="G793" s="3">
        <v>4830</v>
      </c>
      <c r="H793" s="3">
        <v>23</v>
      </c>
      <c r="I793" t="s">
        <v>18</v>
      </c>
      <c r="J793" t="s">
        <v>26</v>
      </c>
      <c r="K793" t="s">
        <v>20</v>
      </c>
      <c r="L793" t="s">
        <v>47</v>
      </c>
      <c r="M793" s="2">
        <v>0.3</v>
      </c>
      <c r="N793" t="s">
        <v>22</v>
      </c>
      <c r="O793" t="str">
        <f t="shared" si="25"/>
        <v>September</v>
      </c>
      <c r="P793" t="str">
        <f t="shared" si="24"/>
        <v>Young Adult</v>
      </c>
    </row>
    <row r="794" spans="1:16" x14ac:dyDescent="0.25">
      <c r="A794">
        <v>1793</v>
      </c>
      <c r="B794" s="1">
        <v>45191</v>
      </c>
      <c r="C794" t="s">
        <v>16</v>
      </c>
      <c r="D794" t="s">
        <v>56</v>
      </c>
      <c r="E794" s="3">
        <v>886</v>
      </c>
      <c r="F794" s="3">
        <v>3</v>
      </c>
      <c r="G794" s="3">
        <v>2658</v>
      </c>
      <c r="H794" s="3">
        <v>52</v>
      </c>
      <c r="I794" t="s">
        <v>32</v>
      </c>
      <c r="J794" t="s">
        <v>60</v>
      </c>
      <c r="K794" t="s">
        <v>42</v>
      </c>
      <c r="L794" t="s">
        <v>47</v>
      </c>
      <c r="M794" s="2">
        <v>0.25</v>
      </c>
      <c r="N794" t="s">
        <v>29</v>
      </c>
      <c r="O794" t="str">
        <f t="shared" si="25"/>
        <v>September</v>
      </c>
      <c r="P794" t="str">
        <f t="shared" si="24"/>
        <v>Middle-Aged</v>
      </c>
    </row>
    <row r="795" spans="1:16" x14ac:dyDescent="0.25">
      <c r="A795">
        <v>1794</v>
      </c>
      <c r="B795" s="1">
        <v>45188</v>
      </c>
      <c r="C795" t="s">
        <v>24</v>
      </c>
      <c r="D795" t="s">
        <v>80</v>
      </c>
      <c r="E795" s="3">
        <v>511</v>
      </c>
      <c r="F795" s="3">
        <v>1</v>
      </c>
      <c r="G795" s="3">
        <v>511</v>
      </c>
      <c r="H795" s="3">
        <v>60</v>
      </c>
      <c r="I795" t="s">
        <v>18</v>
      </c>
      <c r="J795" t="s">
        <v>48</v>
      </c>
      <c r="K795" t="s">
        <v>27</v>
      </c>
      <c r="L795" t="s">
        <v>28</v>
      </c>
      <c r="M795" s="2">
        <v>0.1</v>
      </c>
      <c r="N795" t="s">
        <v>29</v>
      </c>
      <c r="O795" t="str">
        <f t="shared" si="25"/>
        <v>September</v>
      </c>
      <c r="P795" t="str">
        <f t="shared" si="24"/>
        <v>Middle-Aged</v>
      </c>
    </row>
    <row r="796" spans="1:16" x14ac:dyDescent="0.25">
      <c r="A796">
        <v>1795</v>
      </c>
      <c r="B796" s="1">
        <v>44992</v>
      </c>
      <c r="C796" t="s">
        <v>16</v>
      </c>
      <c r="D796" t="s">
        <v>56</v>
      </c>
      <c r="E796" s="3">
        <v>934</v>
      </c>
      <c r="F796" s="3">
        <v>3</v>
      </c>
      <c r="G796" s="3">
        <v>2802</v>
      </c>
      <c r="H796" s="3">
        <v>59</v>
      </c>
      <c r="I796" t="s">
        <v>32</v>
      </c>
      <c r="J796" t="s">
        <v>41</v>
      </c>
      <c r="K796" t="s">
        <v>37</v>
      </c>
      <c r="L796" t="s">
        <v>34</v>
      </c>
      <c r="M796" s="2">
        <v>0.05</v>
      </c>
      <c r="N796" t="s">
        <v>22</v>
      </c>
      <c r="O796" t="str">
        <f t="shared" si="25"/>
        <v>March</v>
      </c>
      <c r="P796" t="str">
        <f t="shared" si="24"/>
        <v>Middle-Aged</v>
      </c>
    </row>
    <row r="797" spans="1:16" x14ac:dyDescent="0.25">
      <c r="A797">
        <v>1796</v>
      </c>
      <c r="B797" s="1">
        <v>44949</v>
      </c>
      <c r="C797" t="s">
        <v>24</v>
      </c>
      <c r="D797" t="s">
        <v>84</v>
      </c>
      <c r="E797" s="3">
        <v>479</v>
      </c>
      <c r="F797" s="3">
        <v>5</v>
      </c>
      <c r="G797" s="3">
        <v>2395</v>
      </c>
      <c r="H797" s="3">
        <v>30</v>
      </c>
      <c r="I797" t="s">
        <v>18</v>
      </c>
      <c r="J797" t="s">
        <v>58</v>
      </c>
      <c r="K797" t="s">
        <v>20</v>
      </c>
      <c r="L797" t="s">
        <v>28</v>
      </c>
      <c r="M797" s="2">
        <v>0.2</v>
      </c>
      <c r="N797" t="s">
        <v>29</v>
      </c>
      <c r="O797" t="str">
        <f t="shared" si="25"/>
        <v>January</v>
      </c>
      <c r="P797" t="str">
        <f t="shared" si="24"/>
        <v>Adult</v>
      </c>
    </row>
    <row r="798" spans="1:16" x14ac:dyDescent="0.25">
      <c r="A798">
        <v>1797</v>
      </c>
      <c r="B798" s="1">
        <v>45321</v>
      </c>
      <c r="C798" t="s">
        <v>16</v>
      </c>
      <c r="D798" t="s">
        <v>56</v>
      </c>
      <c r="E798" s="3">
        <v>151</v>
      </c>
      <c r="F798" s="3">
        <v>1</v>
      </c>
      <c r="G798" s="3">
        <v>151</v>
      </c>
      <c r="H798" s="3">
        <v>34</v>
      </c>
      <c r="I798" t="s">
        <v>32</v>
      </c>
      <c r="J798" t="s">
        <v>41</v>
      </c>
      <c r="K798" t="s">
        <v>33</v>
      </c>
      <c r="L798" t="s">
        <v>38</v>
      </c>
      <c r="M798" s="2">
        <v>0.1</v>
      </c>
      <c r="N798" t="s">
        <v>22</v>
      </c>
      <c r="O798" t="str">
        <f t="shared" si="25"/>
        <v>January</v>
      </c>
      <c r="P798" t="str">
        <f t="shared" si="24"/>
        <v>Adult</v>
      </c>
    </row>
    <row r="799" spans="1:16" x14ac:dyDescent="0.25">
      <c r="A799">
        <v>1798</v>
      </c>
      <c r="B799" s="1">
        <v>45189</v>
      </c>
      <c r="C799" t="s">
        <v>52</v>
      </c>
      <c r="D799" t="s">
        <v>67</v>
      </c>
      <c r="E799" s="3">
        <v>459</v>
      </c>
      <c r="F799" s="3">
        <v>5</v>
      </c>
      <c r="G799" s="3">
        <v>2295</v>
      </c>
      <c r="H799" s="3">
        <v>39</v>
      </c>
      <c r="I799" t="s">
        <v>18</v>
      </c>
      <c r="J799" t="s">
        <v>43</v>
      </c>
      <c r="K799" t="s">
        <v>33</v>
      </c>
      <c r="L799" t="s">
        <v>47</v>
      </c>
      <c r="M799" s="2">
        <v>0.05</v>
      </c>
      <c r="N799" t="s">
        <v>29</v>
      </c>
      <c r="O799" t="str">
        <f t="shared" si="25"/>
        <v>September</v>
      </c>
      <c r="P799" t="str">
        <f t="shared" si="24"/>
        <v>Adult</v>
      </c>
    </row>
    <row r="800" spans="1:16" x14ac:dyDescent="0.25">
      <c r="A800">
        <v>1799</v>
      </c>
      <c r="B800" s="1">
        <v>45102</v>
      </c>
      <c r="C800" t="s">
        <v>30</v>
      </c>
      <c r="D800" t="s">
        <v>44</v>
      </c>
      <c r="E800" s="3">
        <v>1253</v>
      </c>
      <c r="F800" s="3">
        <v>3</v>
      </c>
      <c r="G800" s="3">
        <v>3759</v>
      </c>
      <c r="H800" s="3">
        <v>18</v>
      </c>
      <c r="I800" t="s">
        <v>32</v>
      </c>
      <c r="J800" t="s">
        <v>58</v>
      </c>
      <c r="K800" t="s">
        <v>27</v>
      </c>
      <c r="L800" t="s">
        <v>28</v>
      </c>
      <c r="M800" s="2">
        <v>0.3</v>
      </c>
      <c r="N800" t="s">
        <v>22</v>
      </c>
      <c r="O800" t="str">
        <f t="shared" si="25"/>
        <v>June</v>
      </c>
      <c r="P800" t="str">
        <f t="shared" si="24"/>
        <v>Young Adult</v>
      </c>
    </row>
    <row r="801" spans="1:16" x14ac:dyDescent="0.25">
      <c r="A801">
        <v>1800</v>
      </c>
      <c r="B801" s="1">
        <v>45179</v>
      </c>
      <c r="C801" t="s">
        <v>24</v>
      </c>
      <c r="D801" t="s">
        <v>76</v>
      </c>
      <c r="E801" s="3">
        <v>389</v>
      </c>
      <c r="F801" s="3">
        <v>5</v>
      </c>
      <c r="G801" s="3">
        <v>1945</v>
      </c>
      <c r="H801" s="3">
        <v>59</v>
      </c>
      <c r="I801" t="s">
        <v>32</v>
      </c>
      <c r="J801" t="s">
        <v>58</v>
      </c>
      <c r="K801" t="s">
        <v>42</v>
      </c>
      <c r="L801" t="s">
        <v>34</v>
      </c>
      <c r="M801" s="2">
        <v>0.1</v>
      </c>
      <c r="N801" t="s">
        <v>22</v>
      </c>
      <c r="O801" t="str">
        <f t="shared" si="25"/>
        <v>September</v>
      </c>
      <c r="P801" t="str">
        <f t="shared" si="24"/>
        <v>Middle-Aged</v>
      </c>
    </row>
    <row r="802" spans="1:16" x14ac:dyDescent="0.25">
      <c r="A802">
        <v>1801</v>
      </c>
      <c r="B802" s="1">
        <v>45314</v>
      </c>
      <c r="C802" t="s">
        <v>39</v>
      </c>
      <c r="D802" t="s">
        <v>68</v>
      </c>
      <c r="E802" s="3">
        <v>873</v>
      </c>
      <c r="F802" s="3">
        <v>3</v>
      </c>
      <c r="G802" s="3">
        <v>2619</v>
      </c>
      <c r="H802" s="3">
        <v>46</v>
      </c>
      <c r="I802" t="s">
        <v>18</v>
      </c>
      <c r="J802" t="s">
        <v>60</v>
      </c>
      <c r="K802" t="s">
        <v>27</v>
      </c>
      <c r="L802" t="s">
        <v>38</v>
      </c>
      <c r="M802" s="2">
        <v>0.3</v>
      </c>
      <c r="N802" t="s">
        <v>29</v>
      </c>
      <c r="O802" t="str">
        <f t="shared" si="25"/>
        <v>January</v>
      </c>
      <c r="P802" t="str">
        <f t="shared" si="24"/>
        <v>Adult</v>
      </c>
    </row>
    <row r="803" spans="1:16" x14ac:dyDescent="0.25">
      <c r="A803">
        <v>1802</v>
      </c>
      <c r="B803" s="1">
        <v>45234</v>
      </c>
      <c r="C803" t="s">
        <v>39</v>
      </c>
      <c r="D803" t="s">
        <v>68</v>
      </c>
      <c r="E803" s="3">
        <v>1447</v>
      </c>
      <c r="F803" s="3">
        <v>1</v>
      </c>
      <c r="G803" s="3">
        <v>1447</v>
      </c>
      <c r="H803" s="3">
        <v>43</v>
      </c>
      <c r="I803" t="s">
        <v>18</v>
      </c>
      <c r="J803" t="s">
        <v>58</v>
      </c>
      <c r="K803" t="s">
        <v>27</v>
      </c>
      <c r="L803" t="s">
        <v>47</v>
      </c>
      <c r="M803" s="2">
        <v>0.1</v>
      </c>
      <c r="N803" t="s">
        <v>22</v>
      </c>
      <c r="O803" t="str">
        <f t="shared" si="25"/>
        <v>November</v>
      </c>
      <c r="P803" t="str">
        <f t="shared" si="24"/>
        <v>Adult</v>
      </c>
    </row>
    <row r="804" spans="1:16" x14ac:dyDescent="0.25">
      <c r="A804">
        <v>1803</v>
      </c>
      <c r="B804" s="1">
        <v>44962</v>
      </c>
      <c r="C804" t="s">
        <v>24</v>
      </c>
      <c r="D804" t="s">
        <v>84</v>
      </c>
      <c r="E804" s="3">
        <v>1351</v>
      </c>
      <c r="F804" s="3">
        <v>5</v>
      </c>
      <c r="G804" s="3">
        <v>6755</v>
      </c>
      <c r="H804" s="3">
        <v>34</v>
      </c>
      <c r="I804" t="s">
        <v>32</v>
      </c>
      <c r="J804" t="s">
        <v>51</v>
      </c>
      <c r="K804" t="s">
        <v>37</v>
      </c>
      <c r="L804" t="s">
        <v>34</v>
      </c>
      <c r="M804" s="2">
        <v>0.2</v>
      </c>
      <c r="N804" t="s">
        <v>22</v>
      </c>
      <c r="O804" t="str">
        <f t="shared" si="25"/>
        <v>February</v>
      </c>
      <c r="P804" t="str">
        <f t="shared" si="24"/>
        <v>Adult</v>
      </c>
    </row>
    <row r="805" spans="1:16" x14ac:dyDescent="0.25">
      <c r="A805">
        <v>1804</v>
      </c>
      <c r="B805" s="1">
        <v>45049</v>
      </c>
      <c r="C805" t="s">
        <v>16</v>
      </c>
      <c r="D805" t="s">
        <v>83</v>
      </c>
      <c r="E805" s="3">
        <v>1496</v>
      </c>
      <c r="F805" s="3">
        <v>5</v>
      </c>
      <c r="G805" s="3">
        <v>7480</v>
      </c>
      <c r="H805" s="3">
        <v>32</v>
      </c>
      <c r="I805" t="s">
        <v>32</v>
      </c>
      <c r="J805" t="s">
        <v>60</v>
      </c>
      <c r="K805" t="s">
        <v>42</v>
      </c>
      <c r="L805" t="s">
        <v>28</v>
      </c>
      <c r="M805" s="2">
        <v>0.3</v>
      </c>
      <c r="N805" t="s">
        <v>29</v>
      </c>
      <c r="O805" t="str">
        <f t="shared" si="25"/>
        <v>May</v>
      </c>
      <c r="P805" t="str">
        <f t="shared" si="24"/>
        <v>Adult</v>
      </c>
    </row>
    <row r="806" spans="1:16" x14ac:dyDescent="0.25">
      <c r="A806">
        <v>1805</v>
      </c>
      <c r="B806" s="1">
        <v>44964</v>
      </c>
      <c r="C806" t="s">
        <v>16</v>
      </c>
      <c r="D806" t="s">
        <v>71</v>
      </c>
      <c r="E806" s="3">
        <v>124</v>
      </c>
      <c r="F806" s="3">
        <v>1</v>
      </c>
      <c r="G806" s="3">
        <v>124</v>
      </c>
      <c r="H806" s="3">
        <v>30</v>
      </c>
      <c r="I806" t="s">
        <v>18</v>
      </c>
      <c r="J806" t="s">
        <v>19</v>
      </c>
      <c r="K806" t="s">
        <v>37</v>
      </c>
      <c r="L806" t="s">
        <v>28</v>
      </c>
      <c r="M806" s="2">
        <v>0.1</v>
      </c>
      <c r="N806" t="s">
        <v>29</v>
      </c>
      <c r="O806" t="str">
        <f t="shared" si="25"/>
        <v>February</v>
      </c>
      <c r="P806" t="str">
        <f t="shared" si="24"/>
        <v>Adult</v>
      </c>
    </row>
    <row r="807" spans="1:16" x14ac:dyDescent="0.25">
      <c r="A807">
        <v>1806</v>
      </c>
      <c r="B807" s="1">
        <v>44969</v>
      </c>
      <c r="C807" t="s">
        <v>52</v>
      </c>
      <c r="D807" t="s">
        <v>73</v>
      </c>
      <c r="E807" s="3">
        <v>23</v>
      </c>
      <c r="F807" s="3">
        <v>3</v>
      </c>
      <c r="G807" s="3">
        <v>69</v>
      </c>
      <c r="H807" s="3">
        <v>52</v>
      </c>
      <c r="I807" t="s">
        <v>32</v>
      </c>
      <c r="J807" t="s">
        <v>55</v>
      </c>
      <c r="K807" t="s">
        <v>20</v>
      </c>
      <c r="L807" t="s">
        <v>34</v>
      </c>
      <c r="M807" s="2">
        <v>0.1</v>
      </c>
      <c r="N807" t="s">
        <v>29</v>
      </c>
      <c r="O807" t="str">
        <f t="shared" si="25"/>
        <v>February</v>
      </c>
      <c r="P807" t="str">
        <f t="shared" si="24"/>
        <v>Middle-Aged</v>
      </c>
    </row>
    <row r="808" spans="1:16" x14ac:dyDescent="0.25">
      <c r="A808">
        <v>1807</v>
      </c>
      <c r="B808" s="1">
        <v>45279</v>
      </c>
      <c r="C808" t="s">
        <v>35</v>
      </c>
      <c r="D808" t="s">
        <v>75</v>
      </c>
      <c r="E808" s="3">
        <v>1223</v>
      </c>
      <c r="F808" s="3">
        <v>3</v>
      </c>
      <c r="G808" s="3">
        <v>3669</v>
      </c>
      <c r="H808" s="3">
        <v>31</v>
      </c>
      <c r="I808" t="s">
        <v>18</v>
      </c>
      <c r="J808" t="s">
        <v>48</v>
      </c>
      <c r="K808" t="s">
        <v>33</v>
      </c>
      <c r="L808" t="s">
        <v>34</v>
      </c>
      <c r="M808" s="2">
        <v>0.1</v>
      </c>
      <c r="N808" t="s">
        <v>22</v>
      </c>
      <c r="O808" t="str">
        <f t="shared" si="25"/>
        <v>December</v>
      </c>
      <c r="P808" t="str">
        <f t="shared" si="24"/>
        <v>Adult</v>
      </c>
    </row>
    <row r="809" spans="1:16" x14ac:dyDescent="0.25">
      <c r="A809">
        <v>1808</v>
      </c>
      <c r="B809" s="1">
        <v>45274</v>
      </c>
      <c r="C809" t="s">
        <v>16</v>
      </c>
      <c r="D809" t="s">
        <v>62</v>
      </c>
      <c r="E809" s="3">
        <v>1361</v>
      </c>
      <c r="F809" s="3">
        <v>4</v>
      </c>
      <c r="G809" s="3">
        <v>5444</v>
      </c>
      <c r="H809" s="3">
        <v>29</v>
      </c>
      <c r="I809" t="s">
        <v>32</v>
      </c>
      <c r="J809" t="s">
        <v>26</v>
      </c>
      <c r="K809" t="s">
        <v>45</v>
      </c>
      <c r="L809" t="s">
        <v>34</v>
      </c>
      <c r="M809" s="2">
        <v>0.1</v>
      </c>
      <c r="N809" t="s">
        <v>22</v>
      </c>
      <c r="O809" t="str">
        <f t="shared" si="25"/>
        <v>December</v>
      </c>
      <c r="P809" t="str">
        <f t="shared" si="24"/>
        <v>Young Adult</v>
      </c>
    </row>
    <row r="810" spans="1:16" x14ac:dyDescent="0.25">
      <c r="A810">
        <v>1809</v>
      </c>
      <c r="B810" s="1">
        <v>45170</v>
      </c>
      <c r="C810" t="s">
        <v>35</v>
      </c>
      <c r="D810" t="s">
        <v>75</v>
      </c>
      <c r="E810" s="3">
        <v>617</v>
      </c>
      <c r="F810" s="3">
        <v>1</v>
      </c>
      <c r="G810" s="3">
        <v>617</v>
      </c>
      <c r="H810" s="3">
        <v>55</v>
      </c>
      <c r="I810" t="s">
        <v>32</v>
      </c>
      <c r="J810" t="s">
        <v>60</v>
      </c>
      <c r="K810" t="s">
        <v>45</v>
      </c>
      <c r="L810" t="s">
        <v>21</v>
      </c>
      <c r="M810" s="2">
        <v>0.25</v>
      </c>
      <c r="N810" t="s">
        <v>29</v>
      </c>
      <c r="O810" t="str">
        <f t="shared" si="25"/>
        <v>September</v>
      </c>
      <c r="P810" t="str">
        <f t="shared" si="24"/>
        <v>Middle-Aged</v>
      </c>
    </row>
    <row r="811" spans="1:16" x14ac:dyDescent="0.25">
      <c r="A811">
        <v>1810</v>
      </c>
      <c r="B811" s="1">
        <v>45060</v>
      </c>
      <c r="C811" t="s">
        <v>52</v>
      </c>
      <c r="D811" t="s">
        <v>65</v>
      </c>
      <c r="E811" s="3">
        <v>390</v>
      </c>
      <c r="F811" s="3">
        <v>4</v>
      </c>
      <c r="G811" s="3">
        <v>1560</v>
      </c>
      <c r="H811" s="3">
        <v>46</v>
      </c>
      <c r="I811" t="s">
        <v>18</v>
      </c>
      <c r="J811" t="s">
        <v>51</v>
      </c>
      <c r="K811" t="s">
        <v>45</v>
      </c>
      <c r="L811" t="s">
        <v>21</v>
      </c>
      <c r="M811" s="2">
        <v>0.15</v>
      </c>
      <c r="N811" t="s">
        <v>29</v>
      </c>
      <c r="O811" t="str">
        <f t="shared" si="25"/>
        <v>May</v>
      </c>
      <c r="P811" t="str">
        <f t="shared" si="24"/>
        <v>Adult</v>
      </c>
    </row>
    <row r="812" spans="1:16" x14ac:dyDescent="0.25">
      <c r="A812">
        <v>1811</v>
      </c>
      <c r="B812" s="1">
        <v>45079</v>
      </c>
      <c r="C812" t="s">
        <v>52</v>
      </c>
      <c r="D812" t="s">
        <v>67</v>
      </c>
      <c r="E812" s="3">
        <v>546</v>
      </c>
      <c r="F812" s="3">
        <v>5</v>
      </c>
      <c r="G812" s="3">
        <v>2730</v>
      </c>
      <c r="H812" s="3">
        <v>40</v>
      </c>
      <c r="I812" t="s">
        <v>32</v>
      </c>
      <c r="J812" t="s">
        <v>19</v>
      </c>
      <c r="K812" t="s">
        <v>33</v>
      </c>
      <c r="L812" t="s">
        <v>21</v>
      </c>
      <c r="M812" s="2">
        <v>0.15</v>
      </c>
      <c r="N812" t="s">
        <v>29</v>
      </c>
      <c r="O812" t="str">
        <f t="shared" si="25"/>
        <v>June</v>
      </c>
      <c r="P812" t="str">
        <f t="shared" si="24"/>
        <v>Adult</v>
      </c>
    </row>
    <row r="813" spans="1:16" x14ac:dyDescent="0.25">
      <c r="A813">
        <v>1812</v>
      </c>
      <c r="B813" s="1">
        <v>45066</v>
      </c>
      <c r="C813" t="s">
        <v>30</v>
      </c>
      <c r="D813" t="s">
        <v>79</v>
      </c>
      <c r="E813" s="3">
        <v>23</v>
      </c>
      <c r="F813" s="3">
        <v>5</v>
      </c>
      <c r="G813" s="3">
        <v>115</v>
      </c>
      <c r="H813" s="3">
        <v>41</v>
      </c>
      <c r="I813" t="s">
        <v>32</v>
      </c>
      <c r="J813" t="s">
        <v>58</v>
      </c>
      <c r="K813" t="s">
        <v>45</v>
      </c>
      <c r="L813" t="s">
        <v>47</v>
      </c>
      <c r="M813" s="2">
        <v>0.1</v>
      </c>
      <c r="N813" t="s">
        <v>29</v>
      </c>
      <c r="O813" t="str">
        <f t="shared" si="25"/>
        <v>May</v>
      </c>
      <c r="P813" t="str">
        <f t="shared" si="24"/>
        <v>Adult</v>
      </c>
    </row>
    <row r="814" spans="1:16" x14ac:dyDescent="0.25">
      <c r="A814">
        <v>1813</v>
      </c>
      <c r="B814" s="1">
        <v>45205</v>
      </c>
      <c r="C814" t="s">
        <v>30</v>
      </c>
      <c r="D814" t="s">
        <v>31</v>
      </c>
      <c r="E814" s="3">
        <v>680</v>
      </c>
      <c r="F814" s="3">
        <v>1</v>
      </c>
      <c r="G814" s="3">
        <v>680</v>
      </c>
      <c r="H814" s="3">
        <v>39</v>
      </c>
      <c r="I814" t="s">
        <v>32</v>
      </c>
      <c r="J814" t="s">
        <v>63</v>
      </c>
      <c r="K814" t="s">
        <v>42</v>
      </c>
      <c r="L814" t="s">
        <v>28</v>
      </c>
      <c r="M814" s="2">
        <v>0.3</v>
      </c>
      <c r="N814" t="s">
        <v>22</v>
      </c>
      <c r="O814" t="str">
        <f t="shared" si="25"/>
        <v>October</v>
      </c>
      <c r="P814" t="str">
        <f t="shared" si="24"/>
        <v>Adult</v>
      </c>
    </row>
    <row r="815" spans="1:16" x14ac:dyDescent="0.25">
      <c r="A815">
        <v>1814</v>
      </c>
      <c r="B815" s="1">
        <v>45230</v>
      </c>
      <c r="C815" t="s">
        <v>49</v>
      </c>
      <c r="D815" t="s">
        <v>66</v>
      </c>
      <c r="E815" s="3">
        <v>50</v>
      </c>
      <c r="F815" s="3">
        <v>4</v>
      </c>
      <c r="G815" s="3">
        <v>200</v>
      </c>
      <c r="H815" s="3">
        <v>50</v>
      </c>
      <c r="I815" t="s">
        <v>18</v>
      </c>
      <c r="J815" t="s">
        <v>48</v>
      </c>
      <c r="K815" t="s">
        <v>45</v>
      </c>
      <c r="L815" t="s">
        <v>34</v>
      </c>
      <c r="M815" s="2">
        <v>0.1</v>
      </c>
      <c r="N815" t="s">
        <v>29</v>
      </c>
      <c r="O815" t="str">
        <f t="shared" si="25"/>
        <v>October</v>
      </c>
      <c r="P815" t="str">
        <f t="shared" si="24"/>
        <v>Middle-Aged</v>
      </c>
    </row>
    <row r="816" spans="1:16" x14ac:dyDescent="0.25">
      <c r="A816">
        <v>1815</v>
      </c>
      <c r="B816" s="1">
        <v>45018</v>
      </c>
      <c r="C816" t="s">
        <v>24</v>
      </c>
      <c r="D816" t="s">
        <v>25</v>
      </c>
      <c r="E816" s="3">
        <v>290</v>
      </c>
      <c r="F816" s="3">
        <v>2</v>
      </c>
      <c r="G816" s="3">
        <v>580</v>
      </c>
      <c r="H816" s="3">
        <v>25</v>
      </c>
      <c r="I816" t="s">
        <v>32</v>
      </c>
      <c r="J816" t="s">
        <v>41</v>
      </c>
      <c r="K816" t="s">
        <v>45</v>
      </c>
      <c r="L816" t="s">
        <v>28</v>
      </c>
      <c r="M816" s="2">
        <v>0.2</v>
      </c>
      <c r="N816" t="s">
        <v>29</v>
      </c>
      <c r="O816" t="str">
        <f t="shared" si="25"/>
        <v>April</v>
      </c>
      <c r="P816" t="str">
        <f t="shared" si="24"/>
        <v>Young Adult</v>
      </c>
    </row>
    <row r="817" spans="1:16" x14ac:dyDescent="0.25">
      <c r="A817">
        <v>1816</v>
      </c>
      <c r="B817" s="1">
        <v>44977</v>
      </c>
      <c r="C817" t="s">
        <v>49</v>
      </c>
      <c r="D817" t="s">
        <v>57</v>
      </c>
      <c r="E817" s="3">
        <v>723</v>
      </c>
      <c r="F817" s="3">
        <v>3</v>
      </c>
      <c r="G817" s="3">
        <v>2169</v>
      </c>
      <c r="H817" s="3">
        <v>47</v>
      </c>
      <c r="I817" t="s">
        <v>32</v>
      </c>
      <c r="J817" t="s">
        <v>43</v>
      </c>
      <c r="K817" t="s">
        <v>20</v>
      </c>
      <c r="L817" t="s">
        <v>34</v>
      </c>
      <c r="M817" s="2">
        <v>0.1</v>
      </c>
      <c r="N817" t="s">
        <v>29</v>
      </c>
      <c r="O817" t="str">
        <f t="shared" si="25"/>
        <v>February</v>
      </c>
      <c r="P817" t="str">
        <f t="shared" si="24"/>
        <v>Adult</v>
      </c>
    </row>
    <row r="818" spans="1:16" x14ac:dyDescent="0.25">
      <c r="A818">
        <v>1817</v>
      </c>
      <c r="B818" s="1">
        <v>44965</v>
      </c>
      <c r="C818" t="s">
        <v>24</v>
      </c>
      <c r="D818" t="s">
        <v>84</v>
      </c>
      <c r="E818" s="3">
        <v>720</v>
      </c>
      <c r="F818" s="3">
        <v>1</v>
      </c>
      <c r="G818" s="3">
        <v>720</v>
      </c>
      <c r="H818" s="3">
        <v>42</v>
      </c>
      <c r="I818" t="s">
        <v>32</v>
      </c>
      <c r="J818" t="s">
        <v>55</v>
      </c>
      <c r="K818" t="s">
        <v>27</v>
      </c>
      <c r="L818" t="s">
        <v>38</v>
      </c>
      <c r="M818" s="2">
        <v>0.05</v>
      </c>
      <c r="N818" t="s">
        <v>22</v>
      </c>
      <c r="O818" t="str">
        <f t="shared" si="25"/>
        <v>February</v>
      </c>
      <c r="P818" t="str">
        <f t="shared" si="24"/>
        <v>Adult</v>
      </c>
    </row>
    <row r="819" spans="1:16" x14ac:dyDescent="0.25">
      <c r="A819">
        <v>1818</v>
      </c>
      <c r="B819" s="1">
        <v>45209</v>
      </c>
      <c r="C819" t="s">
        <v>24</v>
      </c>
      <c r="D819" t="s">
        <v>54</v>
      </c>
      <c r="E819" s="3">
        <v>1100</v>
      </c>
      <c r="F819" s="3">
        <v>2</v>
      </c>
      <c r="G819" s="3">
        <v>2200</v>
      </c>
      <c r="H819" s="3">
        <v>48</v>
      </c>
      <c r="I819" t="s">
        <v>18</v>
      </c>
      <c r="J819" t="s">
        <v>48</v>
      </c>
      <c r="K819" t="s">
        <v>20</v>
      </c>
      <c r="L819" t="s">
        <v>21</v>
      </c>
      <c r="M819" s="2">
        <v>0.05</v>
      </c>
      <c r="N819" t="s">
        <v>22</v>
      </c>
      <c r="O819" t="str">
        <f t="shared" si="25"/>
        <v>October</v>
      </c>
      <c r="P819" t="str">
        <f t="shared" si="24"/>
        <v>Adult</v>
      </c>
    </row>
    <row r="820" spans="1:16" x14ac:dyDescent="0.25">
      <c r="A820">
        <v>1819</v>
      </c>
      <c r="B820" s="1">
        <v>45203</v>
      </c>
      <c r="C820" t="s">
        <v>30</v>
      </c>
      <c r="D820" t="s">
        <v>44</v>
      </c>
      <c r="E820" s="3">
        <v>1054</v>
      </c>
      <c r="F820" s="3">
        <v>3</v>
      </c>
      <c r="G820" s="3">
        <v>3162</v>
      </c>
      <c r="H820" s="3">
        <v>54</v>
      </c>
      <c r="I820" t="s">
        <v>18</v>
      </c>
      <c r="J820" t="s">
        <v>26</v>
      </c>
      <c r="K820" t="s">
        <v>27</v>
      </c>
      <c r="L820" t="s">
        <v>28</v>
      </c>
      <c r="M820" s="2">
        <v>0.05</v>
      </c>
      <c r="N820" t="s">
        <v>29</v>
      </c>
      <c r="O820" t="str">
        <f t="shared" si="25"/>
        <v>October</v>
      </c>
      <c r="P820" t="str">
        <f t="shared" si="24"/>
        <v>Middle-Aged</v>
      </c>
    </row>
    <row r="821" spans="1:16" x14ac:dyDescent="0.25">
      <c r="A821">
        <v>1820</v>
      </c>
      <c r="B821" s="1">
        <v>45126</v>
      </c>
      <c r="C821" t="s">
        <v>49</v>
      </c>
      <c r="D821" t="s">
        <v>50</v>
      </c>
      <c r="E821" s="3">
        <v>1023</v>
      </c>
      <c r="F821" s="3">
        <v>4</v>
      </c>
      <c r="G821" s="3">
        <v>4092</v>
      </c>
      <c r="H821" s="3">
        <v>28</v>
      </c>
      <c r="I821" t="s">
        <v>18</v>
      </c>
      <c r="J821" t="s">
        <v>51</v>
      </c>
      <c r="K821" t="s">
        <v>37</v>
      </c>
      <c r="L821" t="s">
        <v>47</v>
      </c>
      <c r="M821" s="2">
        <v>0.25</v>
      </c>
      <c r="N821" t="s">
        <v>22</v>
      </c>
      <c r="O821" t="str">
        <f t="shared" si="25"/>
        <v>July</v>
      </c>
      <c r="P821" t="str">
        <f t="shared" si="24"/>
        <v>Young Adult</v>
      </c>
    </row>
    <row r="822" spans="1:16" x14ac:dyDescent="0.25">
      <c r="A822">
        <v>1821</v>
      </c>
      <c r="B822" s="1">
        <v>45139</v>
      </c>
      <c r="C822" t="s">
        <v>24</v>
      </c>
      <c r="D822" t="s">
        <v>25</v>
      </c>
      <c r="E822" s="3">
        <v>1188</v>
      </c>
      <c r="F822" s="3">
        <v>3</v>
      </c>
      <c r="G822" s="3">
        <v>3564</v>
      </c>
      <c r="H822" s="3">
        <v>18</v>
      </c>
      <c r="I822" t="s">
        <v>18</v>
      </c>
      <c r="J822" t="s">
        <v>41</v>
      </c>
      <c r="K822" t="s">
        <v>42</v>
      </c>
      <c r="L822" t="s">
        <v>21</v>
      </c>
      <c r="M822" s="2">
        <v>0.1</v>
      </c>
      <c r="N822" t="s">
        <v>22</v>
      </c>
      <c r="O822" t="str">
        <f t="shared" si="25"/>
        <v>August</v>
      </c>
      <c r="P822" t="str">
        <f t="shared" si="24"/>
        <v>Young Adult</v>
      </c>
    </row>
    <row r="823" spans="1:16" x14ac:dyDescent="0.25">
      <c r="A823">
        <v>1822</v>
      </c>
      <c r="B823" s="1">
        <v>45257</v>
      </c>
      <c r="C823" t="s">
        <v>16</v>
      </c>
      <c r="D823" t="s">
        <v>59</v>
      </c>
      <c r="E823" s="3">
        <v>553</v>
      </c>
      <c r="F823" s="3">
        <v>2</v>
      </c>
      <c r="G823" s="3">
        <v>1106</v>
      </c>
      <c r="H823" s="3">
        <v>20</v>
      </c>
      <c r="I823" t="s">
        <v>32</v>
      </c>
      <c r="J823" t="s">
        <v>48</v>
      </c>
      <c r="K823" t="s">
        <v>45</v>
      </c>
      <c r="L823" t="s">
        <v>47</v>
      </c>
      <c r="M823" s="2">
        <v>0.1</v>
      </c>
      <c r="N823" t="s">
        <v>29</v>
      </c>
      <c r="O823" t="str">
        <f t="shared" si="25"/>
        <v>November</v>
      </c>
      <c r="P823" t="str">
        <f t="shared" si="24"/>
        <v>Young Adult</v>
      </c>
    </row>
    <row r="824" spans="1:16" x14ac:dyDescent="0.25">
      <c r="A824">
        <v>1823</v>
      </c>
      <c r="B824" s="1">
        <v>45114</v>
      </c>
      <c r="C824" t="s">
        <v>24</v>
      </c>
      <c r="D824" t="s">
        <v>80</v>
      </c>
      <c r="E824" s="3">
        <v>1190</v>
      </c>
      <c r="F824" s="3">
        <v>1</v>
      </c>
      <c r="G824" s="3">
        <v>1190</v>
      </c>
      <c r="H824" s="3">
        <v>46</v>
      </c>
      <c r="I824" t="s">
        <v>32</v>
      </c>
      <c r="J824" t="s">
        <v>51</v>
      </c>
      <c r="K824" t="s">
        <v>45</v>
      </c>
      <c r="L824" t="s">
        <v>34</v>
      </c>
      <c r="M824" s="2">
        <v>0.3</v>
      </c>
      <c r="N824" t="s">
        <v>29</v>
      </c>
      <c r="O824" t="str">
        <f t="shared" si="25"/>
        <v>July</v>
      </c>
      <c r="P824" t="str">
        <f t="shared" si="24"/>
        <v>Adult</v>
      </c>
    </row>
    <row r="825" spans="1:16" x14ac:dyDescent="0.25">
      <c r="A825">
        <v>1824</v>
      </c>
      <c r="B825" s="1">
        <v>45240</v>
      </c>
      <c r="C825" t="s">
        <v>39</v>
      </c>
      <c r="D825" t="s">
        <v>78</v>
      </c>
      <c r="E825" s="3">
        <v>1273</v>
      </c>
      <c r="F825" s="3">
        <v>4</v>
      </c>
      <c r="G825" s="3">
        <v>5092</v>
      </c>
      <c r="H825" s="3">
        <v>52</v>
      </c>
      <c r="I825" t="s">
        <v>32</v>
      </c>
      <c r="J825" t="s">
        <v>26</v>
      </c>
      <c r="K825" t="s">
        <v>42</v>
      </c>
      <c r="L825" t="s">
        <v>34</v>
      </c>
      <c r="M825" s="2">
        <v>0.2</v>
      </c>
      <c r="N825" t="s">
        <v>22</v>
      </c>
      <c r="O825" t="str">
        <f t="shared" si="25"/>
        <v>November</v>
      </c>
      <c r="P825" t="str">
        <f t="shared" si="24"/>
        <v>Middle-Aged</v>
      </c>
    </row>
    <row r="826" spans="1:16" x14ac:dyDescent="0.25">
      <c r="A826">
        <v>1825</v>
      </c>
      <c r="B826" s="1">
        <v>45297</v>
      </c>
      <c r="C826" t="s">
        <v>30</v>
      </c>
      <c r="D826" t="s">
        <v>79</v>
      </c>
      <c r="E826" s="3">
        <v>867</v>
      </c>
      <c r="F826" s="3">
        <v>5</v>
      </c>
      <c r="G826" s="3">
        <v>4335</v>
      </c>
      <c r="H826" s="3">
        <v>56</v>
      </c>
      <c r="I826" t="s">
        <v>32</v>
      </c>
      <c r="J826" t="s">
        <v>26</v>
      </c>
      <c r="K826" t="s">
        <v>27</v>
      </c>
      <c r="L826" t="s">
        <v>38</v>
      </c>
      <c r="M826" s="2">
        <v>0.3</v>
      </c>
      <c r="N826" t="s">
        <v>29</v>
      </c>
      <c r="O826" t="str">
        <f t="shared" si="25"/>
        <v>January</v>
      </c>
      <c r="P826" t="str">
        <f t="shared" si="24"/>
        <v>Middle-Aged</v>
      </c>
    </row>
    <row r="827" spans="1:16" x14ac:dyDescent="0.25">
      <c r="A827">
        <v>1826</v>
      </c>
      <c r="B827" s="1">
        <v>45269</v>
      </c>
      <c r="C827" t="s">
        <v>30</v>
      </c>
      <c r="D827" t="s">
        <v>77</v>
      </c>
      <c r="E827" s="3">
        <v>1244</v>
      </c>
      <c r="F827" s="3">
        <v>5</v>
      </c>
      <c r="G827" s="3">
        <v>6220</v>
      </c>
      <c r="H827" s="3">
        <v>57</v>
      </c>
      <c r="I827" t="s">
        <v>32</v>
      </c>
      <c r="J827" t="s">
        <v>60</v>
      </c>
      <c r="K827" t="s">
        <v>42</v>
      </c>
      <c r="L827" t="s">
        <v>34</v>
      </c>
      <c r="M827" s="2">
        <v>0.1</v>
      </c>
      <c r="N827" t="s">
        <v>29</v>
      </c>
      <c r="O827" t="str">
        <f t="shared" si="25"/>
        <v>December</v>
      </c>
      <c r="P827" t="str">
        <f t="shared" si="24"/>
        <v>Middle-Aged</v>
      </c>
    </row>
    <row r="828" spans="1:16" x14ac:dyDescent="0.25">
      <c r="A828">
        <v>1827</v>
      </c>
      <c r="B828" s="1">
        <v>45004</v>
      </c>
      <c r="C828" t="s">
        <v>30</v>
      </c>
      <c r="D828" t="s">
        <v>79</v>
      </c>
      <c r="E828" s="3">
        <v>1257</v>
      </c>
      <c r="F828" s="3">
        <v>1</v>
      </c>
      <c r="G828" s="3">
        <v>1257</v>
      </c>
      <c r="H828" s="3">
        <v>35</v>
      </c>
      <c r="I828" t="s">
        <v>18</v>
      </c>
      <c r="J828" t="s">
        <v>48</v>
      </c>
      <c r="K828" t="s">
        <v>42</v>
      </c>
      <c r="L828" t="s">
        <v>38</v>
      </c>
      <c r="M828" s="2">
        <v>0.1</v>
      </c>
      <c r="N828" t="s">
        <v>29</v>
      </c>
      <c r="O828" t="str">
        <f t="shared" si="25"/>
        <v>March</v>
      </c>
      <c r="P828" t="str">
        <f t="shared" si="24"/>
        <v>Adult</v>
      </c>
    </row>
    <row r="829" spans="1:16" x14ac:dyDescent="0.25">
      <c r="A829">
        <v>1828</v>
      </c>
      <c r="B829" s="1">
        <v>45103</v>
      </c>
      <c r="C829" t="s">
        <v>52</v>
      </c>
      <c r="D829" t="s">
        <v>53</v>
      </c>
      <c r="E829" s="3">
        <v>376</v>
      </c>
      <c r="F829" s="3">
        <v>1</v>
      </c>
      <c r="G829" s="3">
        <v>376</v>
      </c>
      <c r="H829" s="3">
        <v>22</v>
      </c>
      <c r="I829" t="s">
        <v>32</v>
      </c>
      <c r="J829" t="s">
        <v>55</v>
      </c>
      <c r="K829" t="s">
        <v>33</v>
      </c>
      <c r="L829" t="s">
        <v>47</v>
      </c>
      <c r="M829" s="2">
        <v>0.05</v>
      </c>
      <c r="N829" t="s">
        <v>22</v>
      </c>
      <c r="O829" t="str">
        <f t="shared" si="25"/>
        <v>June</v>
      </c>
      <c r="P829" t="str">
        <f t="shared" si="24"/>
        <v>Young Adult</v>
      </c>
    </row>
    <row r="830" spans="1:16" x14ac:dyDescent="0.25">
      <c r="A830">
        <v>1829</v>
      </c>
      <c r="B830" s="1">
        <v>45103</v>
      </c>
      <c r="C830" t="s">
        <v>35</v>
      </c>
      <c r="D830" t="s">
        <v>74</v>
      </c>
      <c r="E830" s="3">
        <v>588</v>
      </c>
      <c r="F830" s="3">
        <v>1</v>
      </c>
      <c r="G830" s="3">
        <v>588</v>
      </c>
      <c r="H830" s="3">
        <v>60</v>
      </c>
      <c r="I830" t="s">
        <v>18</v>
      </c>
      <c r="J830" t="s">
        <v>58</v>
      </c>
      <c r="K830" t="s">
        <v>20</v>
      </c>
      <c r="L830" t="s">
        <v>38</v>
      </c>
      <c r="M830" s="2">
        <v>0.2</v>
      </c>
      <c r="N830" t="s">
        <v>29</v>
      </c>
      <c r="O830" t="str">
        <f t="shared" si="25"/>
        <v>June</v>
      </c>
      <c r="P830" t="str">
        <f t="shared" si="24"/>
        <v>Middle-Aged</v>
      </c>
    </row>
    <row r="831" spans="1:16" x14ac:dyDescent="0.25">
      <c r="A831">
        <v>1830</v>
      </c>
      <c r="B831" s="1">
        <v>45295</v>
      </c>
      <c r="C831" t="s">
        <v>39</v>
      </c>
      <c r="D831" t="s">
        <v>61</v>
      </c>
      <c r="E831" s="3">
        <v>719</v>
      </c>
      <c r="F831" s="3">
        <v>5</v>
      </c>
      <c r="G831" s="3">
        <v>3595</v>
      </c>
      <c r="H831" s="3">
        <v>49</v>
      </c>
      <c r="I831" t="s">
        <v>18</v>
      </c>
      <c r="J831" t="s">
        <v>63</v>
      </c>
      <c r="K831" t="s">
        <v>45</v>
      </c>
      <c r="L831" t="s">
        <v>21</v>
      </c>
      <c r="M831" s="2">
        <v>0.15</v>
      </c>
      <c r="N831" t="s">
        <v>29</v>
      </c>
      <c r="O831" t="str">
        <f t="shared" si="25"/>
        <v>January</v>
      </c>
      <c r="P831" t="str">
        <f t="shared" si="24"/>
        <v>Adult</v>
      </c>
    </row>
    <row r="832" spans="1:16" x14ac:dyDescent="0.25">
      <c r="A832">
        <v>1831</v>
      </c>
      <c r="B832" s="1">
        <v>45311</v>
      </c>
      <c r="C832" t="s">
        <v>24</v>
      </c>
      <c r="D832" t="s">
        <v>84</v>
      </c>
      <c r="E832" s="3">
        <v>555</v>
      </c>
      <c r="F832" s="3">
        <v>4</v>
      </c>
      <c r="G832" s="3">
        <v>2220</v>
      </c>
      <c r="H832" s="3">
        <v>26</v>
      </c>
      <c r="I832" t="s">
        <v>32</v>
      </c>
      <c r="J832" t="s">
        <v>55</v>
      </c>
      <c r="K832" t="s">
        <v>33</v>
      </c>
      <c r="L832" t="s">
        <v>28</v>
      </c>
      <c r="M832" s="2">
        <v>0.15</v>
      </c>
      <c r="N832" t="s">
        <v>22</v>
      </c>
      <c r="O832" t="str">
        <f t="shared" si="25"/>
        <v>January</v>
      </c>
      <c r="P832" t="str">
        <f t="shared" si="24"/>
        <v>Young Adult</v>
      </c>
    </row>
    <row r="833" spans="1:16" x14ac:dyDescent="0.25">
      <c r="A833">
        <v>1832</v>
      </c>
      <c r="B833" s="1">
        <v>45104</v>
      </c>
      <c r="C833" t="s">
        <v>35</v>
      </c>
      <c r="D833" t="s">
        <v>75</v>
      </c>
      <c r="E833" s="3">
        <v>1447</v>
      </c>
      <c r="F833" s="3">
        <v>5</v>
      </c>
      <c r="G833" s="3">
        <v>7235</v>
      </c>
      <c r="H833" s="3">
        <v>45</v>
      </c>
      <c r="I833" t="s">
        <v>32</v>
      </c>
      <c r="J833" t="s">
        <v>43</v>
      </c>
      <c r="K833" t="s">
        <v>42</v>
      </c>
      <c r="L833" t="s">
        <v>34</v>
      </c>
      <c r="M833" s="2">
        <v>0.3</v>
      </c>
      <c r="N833" t="s">
        <v>29</v>
      </c>
      <c r="O833" t="str">
        <f t="shared" si="25"/>
        <v>June</v>
      </c>
      <c r="P833" t="str">
        <f t="shared" si="24"/>
        <v>Adult</v>
      </c>
    </row>
    <row r="834" spans="1:16" x14ac:dyDescent="0.25">
      <c r="A834">
        <v>1833</v>
      </c>
      <c r="B834" s="1">
        <v>45275</v>
      </c>
      <c r="C834" t="s">
        <v>16</v>
      </c>
      <c r="D834" t="s">
        <v>59</v>
      </c>
      <c r="E834" s="3">
        <v>239</v>
      </c>
      <c r="F834" s="3">
        <v>4</v>
      </c>
      <c r="G834" s="3">
        <v>956</v>
      </c>
      <c r="H834" s="3">
        <v>46</v>
      </c>
      <c r="I834" t="s">
        <v>18</v>
      </c>
      <c r="J834" t="s">
        <v>51</v>
      </c>
      <c r="K834" t="s">
        <v>20</v>
      </c>
      <c r="L834" t="s">
        <v>47</v>
      </c>
      <c r="M834" s="2">
        <v>0.25</v>
      </c>
      <c r="N834" t="s">
        <v>22</v>
      </c>
      <c r="O834" t="str">
        <f t="shared" si="25"/>
        <v>December</v>
      </c>
      <c r="P834" t="str">
        <f t="shared" ref="P834:P897" si="26">IF(H834&lt;13, "Child", IF(H834&lt;18, "Teen", IF(H834&lt;30, "Young Adult", IF(H834&lt;50, "Adult", IF(H834&lt;65, "Middle-Aged", "Senior")))))</f>
        <v>Adult</v>
      </c>
    </row>
    <row r="835" spans="1:16" x14ac:dyDescent="0.25">
      <c r="A835">
        <v>1834</v>
      </c>
      <c r="B835" s="1">
        <v>44932</v>
      </c>
      <c r="C835" t="s">
        <v>49</v>
      </c>
      <c r="D835" t="s">
        <v>66</v>
      </c>
      <c r="E835" s="3">
        <v>157</v>
      </c>
      <c r="F835" s="3">
        <v>2</v>
      </c>
      <c r="G835" s="3">
        <v>314</v>
      </c>
      <c r="H835" s="3">
        <v>40</v>
      </c>
      <c r="I835" t="s">
        <v>18</v>
      </c>
      <c r="J835" t="s">
        <v>51</v>
      </c>
      <c r="K835" t="s">
        <v>27</v>
      </c>
      <c r="L835" t="s">
        <v>34</v>
      </c>
      <c r="M835" s="2">
        <v>0.15</v>
      </c>
      <c r="N835" t="s">
        <v>22</v>
      </c>
      <c r="O835" t="str">
        <f t="shared" ref="O835:O898" si="27">TEXT(B835, "MMMM")</f>
        <v>January</v>
      </c>
      <c r="P835" t="str">
        <f t="shared" si="26"/>
        <v>Adult</v>
      </c>
    </row>
    <row r="836" spans="1:16" x14ac:dyDescent="0.25">
      <c r="A836">
        <v>1835</v>
      </c>
      <c r="B836" s="1">
        <v>45248</v>
      </c>
      <c r="C836" t="s">
        <v>39</v>
      </c>
      <c r="D836" t="s">
        <v>40</v>
      </c>
      <c r="E836" s="3">
        <v>745</v>
      </c>
      <c r="F836" s="3">
        <v>3</v>
      </c>
      <c r="G836" s="3">
        <v>2235</v>
      </c>
      <c r="H836" s="3">
        <v>32</v>
      </c>
      <c r="I836" t="s">
        <v>18</v>
      </c>
      <c r="J836" t="s">
        <v>19</v>
      </c>
      <c r="K836" t="s">
        <v>42</v>
      </c>
      <c r="L836" t="s">
        <v>38</v>
      </c>
      <c r="M836" s="2">
        <v>0.3</v>
      </c>
      <c r="N836" t="s">
        <v>29</v>
      </c>
      <c r="O836" t="str">
        <f t="shared" si="27"/>
        <v>November</v>
      </c>
      <c r="P836" t="str">
        <f t="shared" si="26"/>
        <v>Adult</v>
      </c>
    </row>
    <row r="837" spans="1:16" x14ac:dyDescent="0.25">
      <c r="A837">
        <v>1836</v>
      </c>
      <c r="B837" s="1">
        <v>44979</v>
      </c>
      <c r="C837" t="s">
        <v>39</v>
      </c>
      <c r="D837" t="s">
        <v>46</v>
      </c>
      <c r="E837" s="3">
        <v>795</v>
      </c>
      <c r="F837" s="3">
        <v>4</v>
      </c>
      <c r="G837" s="3">
        <v>3180</v>
      </c>
      <c r="H837" s="3">
        <v>22</v>
      </c>
      <c r="I837" t="s">
        <v>32</v>
      </c>
      <c r="J837" t="s">
        <v>48</v>
      </c>
      <c r="K837" t="s">
        <v>45</v>
      </c>
      <c r="L837" t="s">
        <v>34</v>
      </c>
      <c r="M837" s="2">
        <v>0.05</v>
      </c>
      <c r="N837" t="s">
        <v>22</v>
      </c>
      <c r="O837" t="str">
        <f t="shared" si="27"/>
        <v>February</v>
      </c>
      <c r="P837" t="str">
        <f t="shared" si="26"/>
        <v>Young Adult</v>
      </c>
    </row>
    <row r="838" spans="1:16" x14ac:dyDescent="0.25">
      <c r="A838">
        <v>1837</v>
      </c>
      <c r="B838" s="1">
        <v>45327</v>
      </c>
      <c r="C838" t="s">
        <v>49</v>
      </c>
      <c r="D838" t="s">
        <v>50</v>
      </c>
      <c r="E838" s="3">
        <v>1265</v>
      </c>
      <c r="F838" s="3">
        <v>1</v>
      </c>
      <c r="G838" s="3">
        <v>1265</v>
      </c>
      <c r="H838" s="3">
        <v>19</v>
      </c>
      <c r="I838" t="s">
        <v>32</v>
      </c>
      <c r="J838" t="s">
        <v>51</v>
      </c>
      <c r="K838" t="s">
        <v>37</v>
      </c>
      <c r="L838" t="s">
        <v>38</v>
      </c>
      <c r="M838" s="2">
        <v>0.25</v>
      </c>
      <c r="N838" t="s">
        <v>29</v>
      </c>
      <c r="O838" t="str">
        <f t="shared" si="27"/>
        <v>February</v>
      </c>
      <c r="P838" t="str">
        <f t="shared" si="26"/>
        <v>Young Adult</v>
      </c>
    </row>
    <row r="839" spans="1:16" x14ac:dyDescent="0.25">
      <c r="A839">
        <v>1838</v>
      </c>
      <c r="B839" s="1">
        <v>45007</v>
      </c>
      <c r="C839" t="s">
        <v>39</v>
      </c>
      <c r="D839" t="s">
        <v>46</v>
      </c>
      <c r="E839" s="3">
        <v>315</v>
      </c>
      <c r="F839" s="3">
        <v>2</v>
      </c>
      <c r="G839" s="3">
        <v>630</v>
      </c>
      <c r="H839" s="3">
        <v>40</v>
      </c>
      <c r="I839" t="s">
        <v>32</v>
      </c>
      <c r="J839" t="s">
        <v>51</v>
      </c>
      <c r="K839" t="s">
        <v>33</v>
      </c>
      <c r="L839" t="s">
        <v>38</v>
      </c>
      <c r="M839" s="2">
        <v>0.05</v>
      </c>
      <c r="N839" t="s">
        <v>22</v>
      </c>
      <c r="O839" t="str">
        <f t="shared" si="27"/>
        <v>March</v>
      </c>
      <c r="P839" t="str">
        <f t="shared" si="26"/>
        <v>Adult</v>
      </c>
    </row>
    <row r="840" spans="1:16" x14ac:dyDescent="0.25">
      <c r="A840">
        <v>1839</v>
      </c>
      <c r="B840" s="1">
        <v>45230</v>
      </c>
      <c r="C840" t="s">
        <v>35</v>
      </c>
      <c r="D840" t="s">
        <v>74</v>
      </c>
      <c r="E840" s="3">
        <v>355</v>
      </c>
      <c r="F840" s="3">
        <v>2</v>
      </c>
      <c r="G840" s="3">
        <v>710</v>
      </c>
      <c r="H840" s="3">
        <v>48</v>
      </c>
      <c r="I840" t="s">
        <v>32</v>
      </c>
      <c r="J840" t="s">
        <v>26</v>
      </c>
      <c r="K840" t="s">
        <v>33</v>
      </c>
      <c r="L840" t="s">
        <v>21</v>
      </c>
      <c r="M840" s="2">
        <v>0.15</v>
      </c>
      <c r="N840" t="s">
        <v>29</v>
      </c>
      <c r="O840" t="str">
        <f t="shared" si="27"/>
        <v>October</v>
      </c>
      <c r="P840" t="str">
        <f t="shared" si="26"/>
        <v>Adult</v>
      </c>
    </row>
    <row r="841" spans="1:16" x14ac:dyDescent="0.25">
      <c r="A841">
        <v>1840</v>
      </c>
      <c r="B841" s="1">
        <v>45097</v>
      </c>
      <c r="C841" t="s">
        <v>35</v>
      </c>
      <c r="D841" t="s">
        <v>72</v>
      </c>
      <c r="E841" s="3">
        <v>127</v>
      </c>
      <c r="F841" s="3">
        <v>1</v>
      </c>
      <c r="G841" s="3">
        <v>127</v>
      </c>
      <c r="H841" s="3">
        <v>50</v>
      </c>
      <c r="I841" t="s">
        <v>18</v>
      </c>
      <c r="J841" t="s">
        <v>41</v>
      </c>
      <c r="K841" t="s">
        <v>20</v>
      </c>
      <c r="L841" t="s">
        <v>21</v>
      </c>
      <c r="M841" s="2">
        <v>0.15</v>
      </c>
      <c r="N841" t="s">
        <v>22</v>
      </c>
      <c r="O841" t="str">
        <f t="shared" si="27"/>
        <v>June</v>
      </c>
      <c r="P841" t="str">
        <f t="shared" si="26"/>
        <v>Middle-Aged</v>
      </c>
    </row>
    <row r="842" spans="1:16" x14ac:dyDescent="0.25">
      <c r="A842">
        <v>1841</v>
      </c>
      <c r="B842" s="1">
        <v>45074</v>
      </c>
      <c r="C842" t="s">
        <v>16</v>
      </c>
      <c r="D842" t="s">
        <v>59</v>
      </c>
      <c r="E842" s="3">
        <v>1038</v>
      </c>
      <c r="F842" s="3">
        <v>4</v>
      </c>
      <c r="G842" s="3">
        <v>4152</v>
      </c>
      <c r="H842" s="3">
        <v>30</v>
      </c>
      <c r="I842" t="s">
        <v>18</v>
      </c>
      <c r="J842" t="s">
        <v>41</v>
      </c>
      <c r="K842" t="s">
        <v>20</v>
      </c>
      <c r="L842" t="s">
        <v>21</v>
      </c>
      <c r="M842" s="2">
        <v>0.2</v>
      </c>
      <c r="N842" t="s">
        <v>29</v>
      </c>
      <c r="O842" t="str">
        <f t="shared" si="27"/>
        <v>May</v>
      </c>
      <c r="P842" t="str">
        <f t="shared" si="26"/>
        <v>Adult</v>
      </c>
    </row>
    <row r="843" spans="1:16" x14ac:dyDescent="0.25">
      <c r="A843">
        <v>1842</v>
      </c>
      <c r="B843" s="1">
        <v>45122</v>
      </c>
      <c r="C843" t="s">
        <v>24</v>
      </c>
      <c r="D843" t="s">
        <v>76</v>
      </c>
      <c r="E843" s="3">
        <v>350</v>
      </c>
      <c r="F843" s="3">
        <v>2</v>
      </c>
      <c r="G843" s="3">
        <v>700</v>
      </c>
      <c r="H843" s="3">
        <v>57</v>
      </c>
      <c r="I843" t="s">
        <v>18</v>
      </c>
      <c r="J843" t="s">
        <v>43</v>
      </c>
      <c r="K843" t="s">
        <v>37</v>
      </c>
      <c r="L843" t="s">
        <v>34</v>
      </c>
      <c r="M843" s="2">
        <v>0.1</v>
      </c>
      <c r="N843" t="s">
        <v>22</v>
      </c>
      <c r="O843" t="str">
        <f t="shared" si="27"/>
        <v>July</v>
      </c>
      <c r="P843" t="str">
        <f t="shared" si="26"/>
        <v>Middle-Aged</v>
      </c>
    </row>
    <row r="844" spans="1:16" x14ac:dyDescent="0.25">
      <c r="A844">
        <v>1843</v>
      </c>
      <c r="B844" s="1">
        <v>44946</v>
      </c>
      <c r="C844" t="s">
        <v>39</v>
      </c>
      <c r="D844" t="s">
        <v>46</v>
      </c>
      <c r="E844" s="3">
        <v>962</v>
      </c>
      <c r="F844" s="3">
        <v>1</v>
      </c>
      <c r="G844" s="3">
        <v>962</v>
      </c>
      <c r="H844" s="3">
        <v>58</v>
      </c>
      <c r="I844" t="s">
        <v>32</v>
      </c>
      <c r="J844" t="s">
        <v>19</v>
      </c>
      <c r="K844" t="s">
        <v>37</v>
      </c>
      <c r="L844" t="s">
        <v>28</v>
      </c>
      <c r="M844" s="2">
        <v>0.1</v>
      </c>
      <c r="N844" t="s">
        <v>29</v>
      </c>
      <c r="O844" t="str">
        <f t="shared" si="27"/>
        <v>January</v>
      </c>
      <c r="P844" t="str">
        <f t="shared" si="26"/>
        <v>Middle-Aged</v>
      </c>
    </row>
    <row r="845" spans="1:16" x14ac:dyDescent="0.25">
      <c r="A845">
        <v>1844</v>
      </c>
      <c r="B845" s="1">
        <v>45317</v>
      </c>
      <c r="C845" t="s">
        <v>24</v>
      </c>
      <c r="D845" t="s">
        <v>84</v>
      </c>
      <c r="E845" s="3">
        <v>905</v>
      </c>
      <c r="F845" s="3">
        <v>3</v>
      </c>
      <c r="G845" s="3">
        <v>2715</v>
      </c>
      <c r="H845" s="3">
        <v>45</v>
      </c>
      <c r="I845" t="s">
        <v>32</v>
      </c>
      <c r="J845" t="s">
        <v>43</v>
      </c>
      <c r="K845" t="s">
        <v>42</v>
      </c>
      <c r="L845" t="s">
        <v>38</v>
      </c>
      <c r="M845" s="2">
        <v>0.2</v>
      </c>
      <c r="N845" t="s">
        <v>29</v>
      </c>
      <c r="O845" t="str">
        <f t="shared" si="27"/>
        <v>January</v>
      </c>
      <c r="P845" t="str">
        <f t="shared" si="26"/>
        <v>Adult</v>
      </c>
    </row>
    <row r="846" spans="1:16" x14ac:dyDescent="0.25">
      <c r="A846">
        <v>1845</v>
      </c>
      <c r="B846" s="1">
        <v>44998</v>
      </c>
      <c r="C846" t="s">
        <v>35</v>
      </c>
      <c r="D846" t="s">
        <v>72</v>
      </c>
      <c r="E846" s="3">
        <v>1245</v>
      </c>
      <c r="F846" s="3">
        <v>1</v>
      </c>
      <c r="G846" s="3">
        <v>1245</v>
      </c>
      <c r="H846" s="3">
        <v>46</v>
      </c>
      <c r="I846" t="s">
        <v>32</v>
      </c>
      <c r="J846" t="s">
        <v>51</v>
      </c>
      <c r="K846" t="s">
        <v>42</v>
      </c>
      <c r="L846" t="s">
        <v>38</v>
      </c>
      <c r="M846" s="2">
        <v>0.2</v>
      </c>
      <c r="N846" t="s">
        <v>29</v>
      </c>
      <c r="O846" t="str">
        <f t="shared" si="27"/>
        <v>March</v>
      </c>
      <c r="P846" t="str">
        <f t="shared" si="26"/>
        <v>Adult</v>
      </c>
    </row>
    <row r="847" spans="1:16" x14ac:dyDescent="0.25">
      <c r="A847">
        <v>1846</v>
      </c>
      <c r="B847" s="1">
        <v>45189</v>
      </c>
      <c r="C847" t="s">
        <v>35</v>
      </c>
      <c r="D847" t="s">
        <v>36</v>
      </c>
      <c r="E847" s="3">
        <v>263</v>
      </c>
      <c r="F847" s="3">
        <v>3</v>
      </c>
      <c r="G847" s="3">
        <v>789</v>
      </c>
      <c r="H847" s="3">
        <v>38</v>
      </c>
      <c r="I847" t="s">
        <v>18</v>
      </c>
      <c r="J847" t="s">
        <v>19</v>
      </c>
      <c r="K847" t="s">
        <v>37</v>
      </c>
      <c r="L847" t="s">
        <v>28</v>
      </c>
      <c r="M847" s="2">
        <v>0.2</v>
      </c>
      <c r="N847" t="s">
        <v>29</v>
      </c>
      <c r="O847" t="str">
        <f t="shared" si="27"/>
        <v>September</v>
      </c>
      <c r="P847" t="str">
        <f t="shared" si="26"/>
        <v>Adult</v>
      </c>
    </row>
    <row r="848" spans="1:16" x14ac:dyDescent="0.25">
      <c r="A848">
        <v>1847</v>
      </c>
      <c r="B848" s="1">
        <v>45134</v>
      </c>
      <c r="C848" t="s">
        <v>30</v>
      </c>
      <c r="D848" t="s">
        <v>77</v>
      </c>
      <c r="E848" s="3">
        <v>878</v>
      </c>
      <c r="F848" s="3">
        <v>5</v>
      </c>
      <c r="G848" s="3">
        <v>4390</v>
      </c>
      <c r="H848" s="3">
        <v>46</v>
      </c>
      <c r="I848" t="s">
        <v>32</v>
      </c>
      <c r="J848" t="s">
        <v>43</v>
      </c>
      <c r="K848" t="s">
        <v>37</v>
      </c>
      <c r="L848" t="s">
        <v>38</v>
      </c>
      <c r="M848" s="2">
        <v>0.15</v>
      </c>
      <c r="N848" t="s">
        <v>22</v>
      </c>
      <c r="O848" t="str">
        <f t="shared" si="27"/>
        <v>July</v>
      </c>
      <c r="P848" t="str">
        <f t="shared" si="26"/>
        <v>Adult</v>
      </c>
    </row>
    <row r="849" spans="1:16" x14ac:dyDescent="0.25">
      <c r="A849">
        <v>1848</v>
      </c>
      <c r="B849" s="1">
        <v>45006</v>
      </c>
      <c r="C849" t="s">
        <v>30</v>
      </c>
      <c r="D849" t="s">
        <v>69</v>
      </c>
      <c r="E849" s="3">
        <v>301</v>
      </c>
      <c r="F849" s="3">
        <v>1</v>
      </c>
      <c r="G849" s="3">
        <v>301</v>
      </c>
      <c r="H849" s="3">
        <v>41</v>
      </c>
      <c r="I849" t="s">
        <v>32</v>
      </c>
      <c r="J849" t="s">
        <v>19</v>
      </c>
      <c r="K849" t="s">
        <v>37</v>
      </c>
      <c r="L849" t="s">
        <v>21</v>
      </c>
      <c r="M849" s="2">
        <v>0.25</v>
      </c>
      <c r="N849" t="s">
        <v>22</v>
      </c>
      <c r="O849" t="str">
        <f t="shared" si="27"/>
        <v>March</v>
      </c>
      <c r="P849" t="str">
        <f t="shared" si="26"/>
        <v>Adult</v>
      </c>
    </row>
    <row r="850" spans="1:16" x14ac:dyDescent="0.25">
      <c r="A850">
        <v>1849</v>
      </c>
      <c r="B850" s="1">
        <v>45033</v>
      </c>
      <c r="C850" t="s">
        <v>35</v>
      </c>
      <c r="D850" t="s">
        <v>74</v>
      </c>
      <c r="E850" s="3">
        <v>1478</v>
      </c>
      <c r="F850" s="3">
        <v>4</v>
      </c>
      <c r="G850" s="3">
        <v>5912</v>
      </c>
      <c r="H850" s="3">
        <v>52</v>
      </c>
      <c r="I850" t="s">
        <v>32</v>
      </c>
      <c r="J850" t="s">
        <v>19</v>
      </c>
      <c r="K850" t="s">
        <v>45</v>
      </c>
      <c r="L850" t="s">
        <v>28</v>
      </c>
      <c r="M850" s="2">
        <v>0.1</v>
      </c>
      <c r="N850" t="s">
        <v>22</v>
      </c>
      <c r="O850" t="str">
        <f t="shared" si="27"/>
        <v>April</v>
      </c>
      <c r="P850" t="str">
        <f t="shared" si="26"/>
        <v>Middle-Aged</v>
      </c>
    </row>
    <row r="851" spans="1:16" x14ac:dyDescent="0.25">
      <c r="A851">
        <v>1850</v>
      </c>
      <c r="B851" s="1">
        <v>45074</v>
      </c>
      <c r="C851" t="s">
        <v>16</v>
      </c>
      <c r="D851" t="s">
        <v>83</v>
      </c>
      <c r="E851" s="3">
        <v>155</v>
      </c>
      <c r="F851" s="3">
        <v>4</v>
      </c>
      <c r="G851" s="3">
        <v>620</v>
      </c>
      <c r="H851" s="3">
        <v>35</v>
      </c>
      <c r="I851" t="s">
        <v>32</v>
      </c>
      <c r="J851" t="s">
        <v>43</v>
      </c>
      <c r="K851" t="s">
        <v>27</v>
      </c>
      <c r="L851" t="s">
        <v>28</v>
      </c>
      <c r="M851" s="2">
        <v>0.25</v>
      </c>
      <c r="N851" t="s">
        <v>29</v>
      </c>
      <c r="O851" t="str">
        <f t="shared" si="27"/>
        <v>May</v>
      </c>
      <c r="P851" t="str">
        <f t="shared" si="26"/>
        <v>Adult</v>
      </c>
    </row>
    <row r="852" spans="1:16" x14ac:dyDescent="0.25">
      <c r="A852">
        <v>1851</v>
      </c>
      <c r="B852" s="1">
        <v>44998</v>
      </c>
      <c r="C852" t="s">
        <v>35</v>
      </c>
      <c r="D852" t="s">
        <v>74</v>
      </c>
      <c r="E852" s="3">
        <v>645</v>
      </c>
      <c r="F852" s="3">
        <v>4</v>
      </c>
      <c r="G852" s="3">
        <v>2580</v>
      </c>
      <c r="H852" s="3">
        <v>37</v>
      </c>
      <c r="I852" t="s">
        <v>32</v>
      </c>
      <c r="J852" t="s">
        <v>43</v>
      </c>
      <c r="K852" t="s">
        <v>27</v>
      </c>
      <c r="L852" t="s">
        <v>47</v>
      </c>
      <c r="M852" s="2">
        <v>0.25</v>
      </c>
      <c r="N852" t="s">
        <v>22</v>
      </c>
      <c r="O852" t="str">
        <f t="shared" si="27"/>
        <v>March</v>
      </c>
      <c r="P852" t="str">
        <f t="shared" si="26"/>
        <v>Adult</v>
      </c>
    </row>
    <row r="853" spans="1:16" x14ac:dyDescent="0.25">
      <c r="A853">
        <v>1852</v>
      </c>
      <c r="B853" s="1">
        <v>44981</v>
      </c>
      <c r="C853" t="s">
        <v>35</v>
      </c>
      <c r="D853" t="s">
        <v>70</v>
      </c>
      <c r="E853" s="3">
        <v>310</v>
      </c>
      <c r="F853" s="3">
        <v>5</v>
      </c>
      <c r="G853" s="3">
        <v>1550</v>
      </c>
      <c r="H853" s="3">
        <v>46</v>
      </c>
      <c r="I853" t="s">
        <v>18</v>
      </c>
      <c r="J853" t="s">
        <v>51</v>
      </c>
      <c r="K853" t="s">
        <v>27</v>
      </c>
      <c r="L853" t="s">
        <v>47</v>
      </c>
      <c r="M853" s="2">
        <v>0.25</v>
      </c>
      <c r="N853" t="s">
        <v>29</v>
      </c>
      <c r="O853" t="str">
        <f t="shared" si="27"/>
        <v>February</v>
      </c>
      <c r="P853" t="str">
        <f t="shared" si="26"/>
        <v>Adult</v>
      </c>
    </row>
    <row r="854" spans="1:16" x14ac:dyDescent="0.25">
      <c r="A854">
        <v>1853</v>
      </c>
      <c r="B854" s="1">
        <v>45202</v>
      </c>
      <c r="C854" t="s">
        <v>30</v>
      </c>
      <c r="D854" t="s">
        <v>77</v>
      </c>
      <c r="E854" s="3">
        <v>175</v>
      </c>
      <c r="F854" s="3">
        <v>3</v>
      </c>
      <c r="G854" s="3">
        <v>525</v>
      </c>
      <c r="H854" s="3">
        <v>52</v>
      </c>
      <c r="I854" t="s">
        <v>32</v>
      </c>
      <c r="J854" t="s">
        <v>48</v>
      </c>
      <c r="K854" t="s">
        <v>42</v>
      </c>
      <c r="L854" t="s">
        <v>34</v>
      </c>
      <c r="M854" s="2">
        <v>0.1</v>
      </c>
      <c r="N854" t="s">
        <v>29</v>
      </c>
      <c r="O854" t="str">
        <f t="shared" si="27"/>
        <v>October</v>
      </c>
      <c r="P854" t="str">
        <f t="shared" si="26"/>
        <v>Middle-Aged</v>
      </c>
    </row>
    <row r="855" spans="1:16" x14ac:dyDescent="0.25">
      <c r="A855">
        <v>1854</v>
      </c>
      <c r="B855" s="1">
        <v>45104</v>
      </c>
      <c r="C855" t="s">
        <v>39</v>
      </c>
      <c r="D855" t="s">
        <v>68</v>
      </c>
      <c r="E855" s="3">
        <v>46</v>
      </c>
      <c r="F855" s="3">
        <v>3</v>
      </c>
      <c r="G855" s="3">
        <v>138</v>
      </c>
      <c r="H855" s="3">
        <v>60</v>
      </c>
      <c r="I855" t="s">
        <v>32</v>
      </c>
      <c r="J855" t="s">
        <v>51</v>
      </c>
      <c r="K855" t="s">
        <v>45</v>
      </c>
      <c r="L855" t="s">
        <v>28</v>
      </c>
      <c r="M855" s="2">
        <v>0.05</v>
      </c>
      <c r="N855" t="s">
        <v>29</v>
      </c>
      <c r="O855" t="str">
        <f t="shared" si="27"/>
        <v>June</v>
      </c>
      <c r="P855" t="str">
        <f t="shared" si="26"/>
        <v>Middle-Aged</v>
      </c>
    </row>
    <row r="856" spans="1:16" x14ac:dyDescent="0.25">
      <c r="A856">
        <v>1855</v>
      </c>
      <c r="B856" s="1">
        <v>44981</v>
      </c>
      <c r="C856" t="s">
        <v>16</v>
      </c>
      <c r="D856" t="s">
        <v>83</v>
      </c>
      <c r="E856" s="3">
        <v>367</v>
      </c>
      <c r="F856" s="3">
        <v>3</v>
      </c>
      <c r="G856" s="3">
        <v>1101</v>
      </c>
      <c r="H856" s="3">
        <v>21</v>
      </c>
      <c r="I856" t="s">
        <v>32</v>
      </c>
      <c r="J856" t="s">
        <v>51</v>
      </c>
      <c r="K856" t="s">
        <v>37</v>
      </c>
      <c r="L856" t="s">
        <v>38</v>
      </c>
      <c r="M856" s="2">
        <v>0.2</v>
      </c>
      <c r="N856" t="s">
        <v>22</v>
      </c>
      <c r="O856" t="str">
        <f t="shared" si="27"/>
        <v>February</v>
      </c>
      <c r="P856" t="str">
        <f t="shared" si="26"/>
        <v>Young Adult</v>
      </c>
    </row>
    <row r="857" spans="1:16" x14ac:dyDescent="0.25">
      <c r="A857">
        <v>1856</v>
      </c>
      <c r="B857" s="1">
        <v>45234</v>
      </c>
      <c r="C857" t="s">
        <v>30</v>
      </c>
      <c r="D857" t="s">
        <v>77</v>
      </c>
      <c r="E857" s="3">
        <v>936</v>
      </c>
      <c r="F857" s="3">
        <v>2</v>
      </c>
      <c r="G857" s="3">
        <v>1872</v>
      </c>
      <c r="H857" s="3">
        <v>21</v>
      </c>
      <c r="I857" t="s">
        <v>18</v>
      </c>
      <c r="J857" t="s">
        <v>63</v>
      </c>
      <c r="K857" t="s">
        <v>42</v>
      </c>
      <c r="L857" t="s">
        <v>28</v>
      </c>
      <c r="M857" s="2">
        <v>0.25</v>
      </c>
      <c r="N857" t="s">
        <v>22</v>
      </c>
      <c r="O857" t="str">
        <f t="shared" si="27"/>
        <v>November</v>
      </c>
      <c r="P857" t="str">
        <f t="shared" si="26"/>
        <v>Young Adult</v>
      </c>
    </row>
    <row r="858" spans="1:16" x14ac:dyDescent="0.25">
      <c r="A858">
        <v>1857</v>
      </c>
      <c r="B858" s="1">
        <v>45245</v>
      </c>
      <c r="C858" t="s">
        <v>30</v>
      </c>
      <c r="D858" t="s">
        <v>44</v>
      </c>
      <c r="E858" s="3">
        <v>1250</v>
      </c>
      <c r="F858" s="3">
        <v>4</v>
      </c>
      <c r="G858" s="3">
        <v>5000</v>
      </c>
      <c r="H858" s="3">
        <v>39</v>
      </c>
      <c r="I858" t="s">
        <v>18</v>
      </c>
      <c r="J858" t="s">
        <v>58</v>
      </c>
      <c r="K858" t="s">
        <v>42</v>
      </c>
      <c r="L858" t="s">
        <v>34</v>
      </c>
      <c r="M858" s="2">
        <v>0.15</v>
      </c>
      <c r="N858" t="s">
        <v>22</v>
      </c>
      <c r="O858" t="str">
        <f t="shared" si="27"/>
        <v>November</v>
      </c>
      <c r="P858" t="str">
        <f t="shared" si="26"/>
        <v>Adult</v>
      </c>
    </row>
    <row r="859" spans="1:16" x14ac:dyDescent="0.25">
      <c r="A859">
        <v>1858</v>
      </c>
      <c r="B859" s="1">
        <v>45012</v>
      </c>
      <c r="C859" t="s">
        <v>35</v>
      </c>
      <c r="D859" t="s">
        <v>74</v>
      </c>
      <c r="E859" s="3">
        <v>1378</v>
      </c>
      <c r="F859" s="3">
        <v>3</v>
      </c>
      <c r="G859" s="3">
        <v>4134</v>
      </c>
      <c r="H859" s="3">
        <v>36</v>
      </c>
      <c r="I859" t="s">
        <v>18</v>
      </c>
      <c r="J859" t="s">
        <v>51</v>
      </c>
      <c r="K859" t="s">
        <v>45</v>
      </c>
      <c r="L859" t="s">
        <v>21</v>
      </c>
      <c r="M859" s="2">
        <v>0.2</v>
      </c>
      <c r="N859" t="s">
        <v>29</v>
      </c>
      <c r="O859" t="str">
        <f t="shared" si="27"/>
        <v>March</v>
      </c>
      <c r="P859" t="str">
        <f t="shared" si="26"/>
        <v>Adult</v>
      </c>
    </row>
    <row r="860" spans="1:16" x14ac:dyDescent="0.25">
      <c r="A860">
        <v>1859</v>
      </c>
      <c r="B860" s="1">
        <v>45070</v>
      </c>
      <c r="C860" t="s">
        <v>52</v>
      </c>
      <c r="D860" t="s">
        <v>82</v>
      </c>
      <c r="E860" s="3">
        <v>712</v>
      </c>
      <c r="F860" s="3">
        <v>4</v>
      </c>
      <c r="G860" s="3">
        <v>2848</v>
      </c>
      <c r="H860" s="3">
        <v>21</v>
      </c>
      <c r="I860" t="s">
        <v>32</v>
      </c>
      <c r="J860" t="s">
        <v>63</v>
      </c>
      <c r="K860" t="s">
        <v>42</v>
      </c>
      <c r="L860" t="s">
        <v>21</v>
      </c>
      <c r="M860" s="2">
        <v>0.1</v>
      </c>
      <c r="N860" t="s">
        <v>29</v>
      </c>
      <c r="O860" t="str">
        <f t="shared" si="27"/>
        <v>May</v>
      </c>
      <c r="P860" t="str">
        <f t="shared" si="26"/>
        <v>Young Adult</v>
      </c>
    </row>
    <row r="861" spans="1:16" x14ac:dyDescent="0.25">
      <c r="A861">
        <v>1860</v>
      </c>
      <c r="B861" s="1">
        <v>45097</v>
      </c>
      <c r="C861" t="s">
        <v>49</v>
      </c>
      <c r="D861" t="s">
        <v>66</v>
      </c>
      <c r="E861" s="3">
        <v>425</v>
      </c>
      <c r="F861" s="3">
        <v>3</v>
      </c>
      <c r="G861" s="3">
        <v>1275</v>
      </c>
      <c r="H861" s="3">
        <v>52</v>
      </c>
      <c r="I861" t="s">
        <v>18</v>
      </c>
      <c r="J861" t="s">
        <v>51</v>
      </c>
      <c r="K861" t="s">
        <v>27</v>
      </c>
      <c r="L861" t="s">
        <v>34</v>
      </c>
      <c r="M861" s="2">
        <v>0.1</v>
      </c>
      <c r="N861" t="s">
        <v>29</v>
      </c>
      <c r="O861" t="str">
        <f t="shared" si="27"/>
        <v>June</v>
      </c>
      <c r="P861" t="str">
        <f t="shared" si="26"/>
        <v>Middle-Aged</v>
      </c>
    </row>
    <row r="862" spans="1:16" x14ac:dyDescent="0.25">
      <c r="A862">
        <v>1861</v>
      </c>
      <c r="B862" s="1">
        <v>45274</v>
      </c>
      <c r="C862" t="s">
        <v>35</v>
      </c>
      <c r="D862" t="s">
        <v>75</v>
      </c>
      <c r="E862" s="3">
        <v>880</v>
      </c>
      <c r="F862" s="3">
        <v>5</v>
      </c>
      <c r="G862" s="3">
        <v>4400</v>
      </c>
      <c r="H862" s="3">
        <v>53</v>
      </c>
      <c r="I862" t="s">
        <v>18</v>
      </c>
      <c r="J862" t="s">
        <v>41</v>
      </c>
      <c r="K862" t="s">
        <v>37</v>
      </c>
      <c r="L862" t="s">
        <v>34</v>
      </c>
      <c r="M862" s="2">
        <v>0.3</v>
      </c>
      <c r="N862" t="s">
        <v>29</v>
      </c>
      <c r="O862" t="str">
        <f t="shared" si="27"/>
        <v>December</v>
      </c>
      <c r="P862" t="str">
        <f t="shared" si="26"/>
        <v>Middle-Aged</v>
      </c>
    </row>
    <row r="863" spans="1:16" x14ac:dyDescent="0.25">
      <c r="A863">
        <v>1862</v>
      </c>
      <c r="B863" s="1">
        <v>45060</v>
      </c>
      <c r="C863" t="s">
        <v>52</v>
      </c>
      <c r="D863" t="s">
        <v>73</v>
      </c>
      <c r="E863" s="3">
        <v>212</v>
      </c>
      <c r="F863" s="3">
        <v>4</v>
      </c>
      <c r="G863" s="3">
        <v>848</v>
      </c>
      <c r="H863" s="3">
        <v>35</v>
      </c>
      <c r="I863" t="s">
        <v>32</v>
      </c>
      <c r="J863" t="s">
        <v>51</v>
      </c>
      <c r="K863" t="s">
        <v>42</v>
      </c>
      <c r="L863" t="s">
        <v>47</v>
      </c>
      <c r="M863" s="2">
        <v>0.15</v>
      </c>
      <c r="N863" t="s">
        <v>29</v>
      </c>
      <c r="O863" t="str">
        <f t="shared" si="27"/>
        <v>May</v>
      </c>
      <c r="P863" t="str">
        <f t="shared" si="26"/>
        <v>Adult</v>
      </c>
    </row>
    <row r="864" spans="1:16" x14ac:dyDescent="0.25">
      <c r="A864">
        <v>1863</v>
      </c>
      <c r="B864" s="1">
        <v>44943</v>
      </c>
      <c r="C864" t="s">
        <v>16</v>
      </c>
      <c r="D864" t="s">
        <v>83</v>
      </c>
      <c r="E864" s="3">
        <v>1160</v>
      </c>
      <c r="F864" s="3">
        <v>4</v>
      </c>
      <c r="G864" s="3">
        <v>4640</v>
      </c>
      <c r="H864" s="3">
        <v>53</v>
      </c>
      <c r="I864" t="s">
        <v>18</v>
      </c>
      <c r="J864" t="s">
        <v>19</v>
      </c>
      <c r="K864" t="s">
        <v>42</v>
      </c>
      <c r="L864" t="s">
        <v>34</v>
      </c>
      <c r="M864" s="2">
        <v>0.2</v>
      </c>
      <c r="N864" t="s">
        <v>29</v>
      </c>
      <c r="O864" t="str">
        <f t="shared" si="27"/>
        <v>January</v>
      </c>
      <c r="P864" t="str">
        <f t="shared" si="26"/>
        <v>Middle-Aged</v>
      </c>
    </row>
    <row r="865" spans="1:16" x14ac:dyDescent="0.25">
      <c r="A865">
        <v>1864</v>
      </c>
      <c r="B865" s="1">
        <v>45125</v>
      </c>
      <c r="C865" t="s">
        <v>35</v>
      </c>
      <c r="D865" t="s">
        <v>36</v>
      </c>
      <c r="E865" s="3">
        <v>1048</v>
      </c>
      <c r="F865" s="3">
        <v>5</v>
      </c>
      <c r="G865" s="3">
        <v>5240</v>
      </c>
      <c r="H865" s="3">
        <v>20</v>
      </c>
      <c r="I865" t="s">
        <v>18</v>
      </c>
      <c r="J865" t="s">
        <v>63</v>
      </c>
      <c r="K865" t="s">
        <v>27</v>
      </c>
      <c r="L865" t="s">
        <v>34</v>
      </c>
      <c r="M865" s="2">
        <v>0.25</v>
      </c>
      <c r="N865" t="s">
        <v>29</v>
      </c>
      <c r="O865" t="str">
        <f t="shared" si="27"/>
        <v>July</v>
      </c>
      <c r="P865" t="str">
        <f t="shared" si="26"/>
        <v>Young Adult</v>
      </c>
    </row>
    <row r="866" spans="1:16" x14ac:dyDescent="0.25">
      <c r="A866">
        <v>1865</v>
      </c>
      <c r="B866" s="1">
        <v>45255</v>
      </c>
      <c r="C866" t="s">
        <v>52</v>
      </c>
      <c r="D866" t="s">
        <v>67</v>
      </c>
      <c r="E866" s="3">
        <v>30</v>
      </c>
      <c r="F866" s="3">
        <v>3</v>
      </c>
      <c r="G866" s="3">
        <v>90</v>
      </c>
      <c r="H866" s="3">
        <v>18</v>
      </c>
      <c r="I866" t="s">
        <v>32</v>
      </c>
      <c r="J866" t="s">
        <v>41</v>
      </c>
      <c r="K866" t="s">
        <v>33</v>
      </c>
      <c r="L866" t="s">
        <v>34</v>
      </c>
      <c r="M866" s="2">
        <v>0.1</v>
      </c>
      <c r="N866" t="s">
        <v>22</v>
      </c>
      <c r="O866" t="str">
        <f t="shared" si="27"/>
        <v>November</v>
      </c>
      <c r="P866" t="str">
        <f t="shared" si="26"/>
        <v>Young Adult</v>
      </c>
    </row>
    <row r="867" spans="1:16" x14ac:dyDescent="0.25">
      <c r="A867">
        <v>1866</v>
      </c>
      <c r="B867" s="1">
        <v>45118</v>
      </c>
      <c r="C867" t="s">
        <v>30</v>
      </c>
      <c r="D867" t="s">
        <v>77</v>
      </c>
      <c r="E867" s="3">
        <v>1202</v>
      </c>
      <c r="F867" s="3">
        <v>1</v>
      </c>
      <c r="G867" s="3">
        <v>1202</v>
      </c>
      <c r="H867" s="3">
        <v>26</v>
      </c>
      <c r="I867" t="s">
        <v>32</v>
      </c>
      <c r="J867" t="s">
        <v>51</v>
      </c>
      <c r="K867" t="s">
        <v>37</v>
      </c>
      <c r="L867" t="s">
        <v>38</v>
      </c>
      <c r="M867" s="2">
        <v>0.25</v>
      </c>
      <c r="N867" t="s">
        <v>22</v>
      </c>
      <c r="O867" t="str">
        <f t="shared" si="27"/>
        <v>July</v>
      </c>
      <c r="P867" t="str">
        <f t="shared" si="26"/>
        <v>Young Adult</v>
      </c>
    </row>
    <row r="868" spans="1:16" x14ac:dyDescent="0.25">
      <c r="A868">
        <v>1867</v>
      </c>
      <c r="B868" s="1">
        <v>45058</v>
      </c>
      <c r="C868" t="s">
        <v>16</v>
      </c>
      <c r="D868" t="s">
        <v>83</v>
      </c>
      <c r="E868" s="3">
        <v>120</v>
      </c>
      <c r="F868" s="3">
        <v>2</v>
      </c>
      <c r="G868" s="3">
        <v>240</v>
      </c>
      <c r="H868" s="3">
        <v>37</v>
      </c>
      <c r="I868" t="s">
        <v>32</v>
      </c>
      <c r="J868" t="s">
        <v>63</v>
      </c>
      <c r="K868" t="s">
        <v>33</v>
      </c>
      <c r="L868" t="s">
        <v>47</v>
      </c>
      <c r="M868" s="2">
        <v>0.2</v>
      </c>
      <c r="N868" t="s">
        <v>29</v>
      </c>
      <c r="O868" t="str">
        <f t="shared" si="27"/>
        <v>May</v>
      </c>
      <c r="P868" t="str">
        <f t="shared" si="26"/>
        <v>Adult</v>
      </c>
    </row>
    <row r="869" spans="1:16" x14ac:dyDescent="0.25">
      <c r="A869">
        <v>1868</v>
      </c>
      <c r="B869" s="1">
        <v>45182</v>
      </c>
      <c r="C869" t="s">
        <v>35</v>
      </c>
      <c r="D869" t="s">
        <v>75</v>
      </c>
      <c r="E869" s="3">
        <v>1285</v>
      </c>
      <c r="F869" s="3">
        <v>2</v>
      </c>
      <c r="G869" s="3">
        <v>2570</v>
      </c>
      <c r="H869" s="3">
        <v>43</v>
      </c>
      <c r="I869" t="s">
        <v>18</v>
      </c>
      <c r="J869" t="s">
        <v>60</v>
      </c>
      <c r="K869" t="s">
        <v>37</v>
      </c>
      <c r="L869" t="s">
        <v>47</v>
      </c>
      <c r="M869" s="2">
        <v>0.3</v>
      </c>
      <c r="N869" t="s">
        <v>22</v>
      </c>
      <c r="O869" t="str">
        <f t="shared" si="27"/>
        <v>September</v>
      </c>
      <c r="P869" t="str">
        <f t="shared" si="26"/>
        <v>Adult</v>
      </c>
    </row>
    <row r="870" spans="1:16" x14ac:dyDescent="0.25">
      <c r="A870">
        <v>1869</v>
      </c>
      <c r="B870" s="1">
        <v>45131</v>
      </c>
      <c r="C870" t="s">
        <v>49</v>
      </c>
      <c r="D870" t="s">
        <v>81</v>
      </c>
      <c r="E870" s="3">
        <v>1126</v>
      </c>
      <c r="F870" s="3">
        <v>4</v>
      </c>
      <c r="G870" s="3">
        <v>4504</v>
      </c>
      <c r="H870" s="3">
        <v>19</v>
      </c>
      <c r="I870" t="s">
        <v>18</v>
      </c>
      <c r="J870" t="s">
        <v>19</v>
      </c>
      <c r="K870" t="s">
        <v>42</v>
      </c>
      <c r="L870" t="s">
        <v>28</v>
      </c>
      <c r="M870" s="2">
        <v>0.3</v>
      </c>
      <c r="N870" t="s">
        <v>29</v>
      </c>
      <c r="O870" t="str">
        <f t="shared" si="27"/>
        <v>July</v>
      </c>
      <c r="P870" t="str">
        <f t="shared" si="26"/>
        <v>Young Adult</v>
      </c>
    </row>
    <row r="871" spans="1:16" x14ac:dyDescent="0.25">
      <c r="A871">
        <v>1870</v>
      </c>
      <c r="B871" s="1">
        <v>45062</v>
      </c>
      <c r="C871" t="s">
        <v>39</v>
      </c>
      <c r="D871" t="s">
        <v>78</v>
      </c>
      <c r="E871" s="3">
        <v>185</v>
      </c>
      <c r="F871" s="3">
        <v>5</v>
      </c>
      <c r="G871" s="3">
        <v>925</v>
      </c>
      <c r="H871" s="3">
        <v>35</v>
      </c>
      <c r="I871" t="s">
        <v>32</v>
      </c>
      <c r="J871" t="s">
        <v>51</v>
      </c>
      <c r="K871" t="s">
        <v>37</v>
      </c>
      <c r="L871" t="s">
        <v>34</v>
      </c>
      <c r="M871" s="2">
        <v>0.15</v>
      </c>
      <c r="N871" t="s">
        <v>29</v>
      </c>
      <c r="O871" t="str">
        <f t="shared" si="27"/>
        <v>May</v>
      </c>
      <c r="P871" t="str">
        <f t="shared" si="26"/>
        <v>Adult</v>
      </c>
    </row>
    <row r="872" spans="1:16" x14ac:dyDescent="0.25">
      <c r="A872">
        <v>1871</v>
      </c>
      <c r="B872" s="1">
        <v>45303</v>
      </c>
      <c r="C872" t="s">
        <v>39</v>
      </c>
      <c r="D872" t="s">
        <v>78</v>
      </c>
      <c r="E872" s="3">
        <v>185</v>
      </c>
      <c r="F872" s="3">
        <v>2</v>
      </c>
      <c r="G872" s="3">
        <v>370</v>
      </c>
      <c r="H872" s="3">
        <v>48</v>
      </c>
      <c r="I872" t="s">
        <v>18</v>
      </c>
      <c r="J872" t="s">
        <v>58</v>
      </c>
      <c r="K872" t="s">
        <v>33</v>
      </c>
      <c r="L872" t="s">
        <v>21</v>
      </c>
      <c r="M872" s="2">
        <v>0.1</v>
      </c>
      <c r="N872" t="s">
        <v>22</v>
      </c>
      <c r="O872" t="str">
        <f t="shared" si="27"/>
        <v>January</v>
      </c>
      <c r="P872" t="str">
        <f t="shared" si="26"/>
        <v>Adult</v>
      </c>
    </row>
    <row r="873" spans="1:16" x14ac:dyDescent="0.25">
      <c r="A873">
        <v>1872</v>
      </c>
      <c r="B873" s="1">
        <v>45306</v>
      </c>
      <c r="C873" t="s">
        <v>16</v>
      </c>
      <c r="D873" t="s">
        <v>62</v>
      </c>
      <c r="E873" s="3">
        <v>841</v>
      </c>
      <c r="F873" s="3">
        <v>4</v>
      </c>
      <c r="G873" s="3">
        <v>3364</v>
      </c>
      <c r="H873" s="3">
        <v>27</v>
      </c>
      <c r="I873" t="s">
        <v>32</v>
      </c>
      <c r="J873" t="s">
        <v>48</v>
      </c>
      <c r="K873" t="s">
        <v>27</v>
      </c>
      <c r="L873" t="s">
        <v>28</v>
      </c>
      <c r="M873" s="2">
        <v>0.25</v>
      </c>
      <c r="N873" t="s">
        <v>29</v>
      </c>
      <c r="O873" t="str">
        <f t="shared" si="27"/>
        <v>January</v>
      </c>
      <c r="P873" t="str">
        <f t="shared" si="26"/>
        <v>Young Adult</v>
      </c>
    </row>
    <row r="874" spans="1:16" x14ac:dyDescent="0.25">
      <c r="A874">
        <v>1873</v>
      </c>
      <c r="B874" s="1">
        <v>45103</v>
      </c>
      <c r="C874" t="s">
        <v>52</v>
      </c>
      <c r="D874" t="s">
        <v>53</v>
      </c>
      <c r="E874" s="3">
        <v>567</v>
      </c>
      <c r="F874" s="3">
        <v>3</v>
      </c>
      <c r="G874" s="3">
        <v>1701</v>
      </c>
      <c r="H874" s="3">
        <v>36</v>
      </c>
      <c r="I874" t="s">
        <v>18</v>
      </c>
      <c r="J874" t="s">
        <v>63</v>
      </c>
      <c r="K874" t="s">
        <v>27</v>
      </c>
      <c r="L874" t="s">
        <v>34</v>
      </c>
      <c r="M874" s="2">
        <v>0.1</v>
      </c>
      <c r="N874" t="s">
        <v>22</v>
      </c>
      <c r="O874" t="str">
        <f t="shared" si="27"/>
        <v>June</v>
      </c>
      <c r="P874" t="str">
        <f t="shared" si="26"/>
        <v>Adult</v>
      </c>
    </row>
    <row r="875" spans="1:16" x14ac:dyDescent="0.25">
      <c r="A875">
        <v>1874</v>
      </c>
      <c r="B875" s="1">
        <v>45156</v>
      </c>
      <c r="C875" t="s">
        <v>35</v>
      </c>
      <c r="D875" t="s">
        <v>75</v>
      </c>
      <c r="E875" s="3">
        <v>144</v>
      </c>
      <c r="F875" s="3">
        <v>3</v>
      </c>
      <c r="G875" s="3">
        <v>432</v>
      </c>
      <c r="H875" s="3">
        <v>19</v>
      </c>
      <c r="I875" t="s">
        <v>18</v>
      </c>
      <c r="J875" t="s">
        <v>60</v>
      </c>
      <c r="K875" t="s">
        <v>37</v>
      </c>
      <c r="L875" t="s">
        <v>21</v>
      </c>
      <c r="M875" s="2">
        <v>0.3</v>
      </c>
      <c r="N875" t="s">
        <v>22</v>
      </c>
      <c r="O875" t="str">
        <f t="shared" si="27"/>
        <v>August</v>
      </c>
      <c r="P875" t="str">
        <f t="shared" si="26"/>
        <v>Young Adult</v>
      </c>
    </row>
    <row r="876" spans="1:16" x14ac:dyDescent="0.25">
      <c r="A876">
        <v>1875</v>
      </c>
      <c r="B876" s="1">
        <v>44997</v>
      </c>
      <c r="C876" t="s">
        <v>30</v>
      </c>
      <c r="D876" t="s">
        <v>44</v>
      </c>
      <c r="E876" s="3">
        <v>92</v>
      </c>
      <c r="F876" s="3">
        <v>1</v>
      </c>
      <c r="G876" s="3">
        <v>92</v>
      </c>
      <c r="H876" s="3">
        <v>25</v>
      </c>
      <c r="I876" t="s">
        <v>32</v>
      </c>
      <c r="J876" t="s">
        <v>55</v>
      </c>
      <c r="K876" t="s">
        <v>37</v>
      </c>
      <c r="L876" t="s">
        <v>34</v>
      </c>
      <c r="M876" s="2">
        <v>0.2</v>
      </c>
      <c r="N876" t="s">
        <v>29</v>
      </c>
      <c r="O876" t="str">
        <f t="shared" si="27"/>
        <v>March</v>
      </c>
      <c r="P876" t="str">
        <f t="shared" si="26"/>
        <v>Young Adult</v>
      </c>
    </row>
    <row r="877" spans="1:16" x14ac:dyDescent="0.25">
      <c r="A877">
        <v>1876</v>
      </c>
      <c r="B877" s="1">
        <v>44956</v>
      </c>
      <c r="C877" t="s">
        <v>49</v>
      </c>
      <c r="D877" t="s">
        <v>57</v>
      </c>
      <c r="E877" s="3">
        <v>127</v>
      </c>
      <c r="F877" s="3">
        <v>2</v>
      </c>
      <c r="G877" s="3">
        <v>254</v>
      </c>
      <c r="H877" s="3">
        <v>48</v>
      </c>
      <c r="I877" t="s">
        <v>32</v>
      </c>
      <c r="J877" t="s">
        <v>41</v>
      </c>
      <c r="K877" t="s">
        <v>27</v>
      </c>
      <c r="L877" t="s">
        <v>47</v>
      </c>
      <c r="M877" s="2">
        <v>0.3</v>
      </c>
      <c r="N877" t="s">
        <v>29</v>
      </c>
      <c r="O877" t="str">
        <f t="shared" si="27"/>
        <v>January</v>
      </c>
      <c r="P877" t="str">
        <f t="shared" si="26"/>
        <v>Adult</v>
      </c>
    </row>
    <row r="878" spans="1:16" x14ac:dyDescent="0.25">
      <c r="A878">
        <v>1877</v>
      </c>
      <c r="B878" s="1">
        <v>45138</v>
      </c>
      <c r="C878" t="s">
        <v>30</v>
      </c>
      <c r="D878" t="s">
        <v>79</v>
      </c>
      <c r="E878" s="3">
        <v>1263</v>
      </c>
      <c r="F878" s="3">
        <v>5</v>
      </c>
      <c r="G878" s="3">
        <v>6315</v>
      </c>
      <c r="H878" s="3">
        <v>52</v>
      </c>
      <c r="I878" t="s">
        <v>18</v>
      </c>
      <c r="J878" t="s">
        <v>26</v>
      </c>
      <c r="K878" t="s">
        <v>45</v>
      </c>
      <c r="L878" t="s">
        <v>47</v>
      </c>
      <c r="M878" s="2">
        <v>0.15</v>
      </c>
      <c r="N878" t="s">
        <v>29</v>
      </c>
      <c r="O878" t="str">
        <f t="shared" si="27"/>
        <v>July</v>
      </c>
      <c r="P878" t="str">
        <f t="shared" si="26"/>
        <v>Middle-Aged</v>
      </c>
    </row>
    <row r="879" spans="1:16" x14ac:dyDescent="0.25">
      <c r="A879">
        <v>1878</v>
      </c>
      <c r="B879" s="1">
        <v>45236</v>
      </c>
      <c r="C879" t="s">
        <v>16</v>
      </c>
      <c r="D879" t="s">
        <v>59</v>
      </c>
      <c r="E879" s="3">
        <v>272</v>
      </c>
      <c r="F879" s="3">
        <v>2</v>
      </c>
      <c r="G879" s="3">
        <v>544</v>
      </c>
      <c r="H879" s="3">
        <v>23</v>
      </c>
      <c r="I879" t="s">
        <v>18</v>
      </c>
      <c r="J879" t="s">
        <v>26</v>
      </c>
      <c r="K879" t="s">
        <v>42</v>
      </c>
      <c r="L879" t="s">
        <v>34</v>
      </c>
      <c r="M879" s="2">
        <v>0.1</v>
      </c>
      <c r="N879" t="s">
        <v>22</v>
      </c>
      <c r="O879" t="str">
        <f t="shared" si="27"/>
        <v>November</v>
      </c>
      <c r="P879" t="str">
        <f t="shared" si="26"/>
        <v>Young Adult</v>
      </c>
    </row>
    <row r="880" spans="1:16" x14ac:dyDescent="0.25">
      <c r="A880">
        <v>1879</v>
      </c>
      <c r="B880" s="1">
        <v>45048</v>
      </c>
      <c r="C880" t="s">
        <v>39</v>
      </c>
      <c r="D880" t="s">
        <v>78</v>
      </c>
      <c r="E880" s="3">
        <v>548</v>
      </c>
      <c r="F880" s="3">
        <v>5</v>
      </c>
      <c r="G880" s="3">
        <v>2740</v>
      </c>
      <c r="H880" s="3">
        <v>46</v>
      </c>
      <c r="I880" t="s">
        <v>18</v>
      </c>
      <c r="J880" t="s">
        <v>51</v>
      </c>
      <c r="K880" t="s">
        <v>42</v>
      </c>
      <c r="L880" t="s">
        <v>38</v>
      </c>
      <c r="M880" s="2">
        <v>0.15</v>
      </c>
      <c r="N880" t="s">
        <v>22</v>
      </c>
      <c r="O880" t="str">
        <f t="shared" si="27"/>
        <v>May</v>
      </c>
      <c r="P880" t="str">
        <f t="shared" si="26"/>
        <v>Adult</v>
      </c>
    </row>
    <row r="881" spans="1:16" x14ac:dyDescent="0.25">
      <c r="A881">
        <v>1880</v>
      </c>
      <c r="B881" s="1">
        <v>45202</v>
      </c>
      <c r="C881" t="s">
        <v>24</v>
      </c>
      <c r="D881" t="s">
        <v>84</v>
      </c>
      <c r="E881" s="3">
        <v>493</v>
      </c>
      <c r="F881" s="3">
        <v>3</v>
      </c>
      <c r="G881" s="3">
        <v>1479</v>
      </c>
      <c r="H881" s="3">
        <v>28</v>
      </c>
      <c r="I881" t="s">
        <v>18</v>
      </c>
      <c r="J881" t="s">
        <v>41</v>
      </c>
      <c r="K881" t="s">
        <v>45</v>
      </c>
      <c r="L881" t="s">
        <v>38</v>
      </c>
      <c r="M881" s="2">
        <v>0.25</v>
      </c>
      <c r="N881" t="s">
        <v>22</v>
      </c>
      <c r="O881" t="str">
        <f t="shared" si="27"/>
        <v>October</v>
      </c>
      <c r="P881" t="str">
        <f t="shared" si="26"/>
        <v>Young Adult</v>
      </c>
    </row>
    <row r="882" spans="1:16" x14ac:dyDescent="0.25">
      <c r="A882">
        <v>1881</v>
      </c>
      <c r="B882" s="1">
        <v>45154</v>
      </c>
      <c r="C882" t="s">
        <v>30</v>
      </c>
      <c r="D882" t="s">
        <v>44</v>
      </c>
      <c r="E882" s="3">
        <v>1202</v>
      </c>
      <c r="F882" s="3">
        <v>1</v>
      </c>
      <c r="G882" s="3">
        <v>1202</v>
      </c>
      <c r="H882" s="3">
        <v>48</v>
      </c>
      <c r="I882" t="s">
        <v>18</v>
      </c>
      <c r="J882" t="s">
        <v>26</v>
      </c>
      <c r="K882" t="s">
        <v>33</v>
      </c>
      <c r="L882" t="s">
        <v>47</v>
      </c>
      <c r="M882" s="2">
        <v>0.15</v>
      </c>
      <c r="N882" t="s">
        <v>22</v>
      </c>
      <c r="O882" t="str">
        <f t="shared" si="27"/>
        <v>August</v>
      </c>
      <c r="P882" t="str">
        <f t="shared" si="26"/>
        <v>Adult</v>
      </c>
    </row>
    <row r="883" spans="1:16" x14ac:dyDescent="0.25">
      <c r="A883">
        <v>1882</v>
      </c>
      <c r="B883" s="1">
        <v>45182</v>
      </c>
      <c r="C883" t="s">
        <v>39</v>
      </c>
      <c r="D883" t="s">
        <v>78</v>
      </c>
      <c r="E883" s="3">
        <v>367</v>
      </c>
      <c r="F883" s="3">
        <v>4</v>
      </c>
      <c r="G883" s="3">
        <v>1468</v>
      </c>
      <c r="H883" s="3">
        <v>46</v>
      </c>
      <c r="I883" t="s">
        <v>18</v>
      </c>
      <c r="J883" t="s">
        <v>43</v>
      </c>
      <c r="K883" t="s">
        <v>42</v>
      </c>
      <c r="L883" t="s">
        <v>47</v>
      </c>
      <c r="M883" s="2">
        <v>0.25</v>
      </c>
      <c r="N883" t="s">
        <v>29</v>
      </c>
      <c r="O883" t="str">
        <f t="shared" si="27"/>
        <v>September</v>
      </c>
      <c r="P883" t="str">
        <f t="shared" si="26"/>
        <v>Adult</v>
      </c>
    </row>
    <row r="884" spans="1:16" x14ac:dyDescent="0.25">
      <c r="A884">
        <v>1883</v>
      </c>
      <c r="B884" s="1">
        <v>45179</v>
      </c>
      <c r="C884" t="s">
        <v>39</v>
      </c>
      <c r="D884" t="s">
        <v>78</v>
      </c>
      <c r="E884" s="3">
        <v>422</v>
      </c>
      <c r="F884" s="3">
        <v>2</v>
      </c>
      <c r="G884" s="3">
        <v>844</v>
      </c>
      <c r="H884" s="3">
        <v>55</v>
      </c>
      <c r="I884" t="s">
        <v>32</v>
      </c>
      <c r="J884" t="s">
        <v>19</v>
      </c>
      <c r="K884" t="s">
        <v>37</v>
      </c>
      <c r="L884" t="s">
        <v>21</v>
      </c>
      <c r="M884" s="2">
        <v>0.15</v>
      </c>
      <c r="N884" t="s">
        <v>29</v>
      </c>
      <c r="O884" t="str">
        <f t="shared" si="27"/>
        <v>September</v>
      </c>
      <c r="P884" t="str">
        <f t="shared" si="26"/>
        <v>Middle-Aged</v>
      </c>
    </row>
    <row r="885" spans="1:16" x14ac:dyDescent="0.25">
      <c r="A885">
        <v>1884</v>
      </c>
      <c r="B885" s="1">
        <v>45226</v>
      </c>
      <c r="C885" t="s">
        <v>35</v>
      </c>
      <c r="D885" t="s">
        <v>74</v>
      </c>
      <c r="E885" s="3">
        <v>1050</v>
      </c>
      <c r="F885" s="3">
        <v>3</v>
      </c>
      <c r="G885" s="3">
        <v>3150</v>
      </c>
      <c r="H885" s="3">
        <v>53</v>
      </c>
      <c r="I885" t="s">
        <v>32</v>
      </c>
      <c r="J885" t="s">
        <v>55</v>
      </c>
      <c r="K885" t="s">
        <v>45</v>
      </c>
      <c r="L885" t="s">
        <v>38</v>
      </c>
      <c r="M885" s="2">
        <v>0.25</v>
      </c>
      <c r="N885" t="s">
        <v>22</v>
      </c>
      <c r="O885" t="str">
        <f t="shared" si="27"/>
        <v>October</v>
      </c>
      <c r="P885" t="str">
        <f t="shared" si="26"/>
        <v>Middle-Aged</v>
      </c>
    </row>
    <row r="886" spans="1:16" x14ac:dyDescent="0.25">
      <c r="A886">
        <v>1885</v>
      </c>
      <c r="B886" s="1">
        <v>45143</v>
      </c>
      <c r="C886" t="s">
        <v>35</v>
      </c>
      <c r="D886" t="s">
        <v>72</v>
      </c>
      <c r="E886" s="3">
        <v>1344</v>
      </c>
      <c r="F886" s="3">
        <v>3</v>
      </c>
      <c r="G886" s="3">
        <v>4032</v>
      </c>
      <c r="H886" s="3">
        <v>56</v>
      </c>
      <c r="I886" t="s">
        <v>32</v>
      </c>
      <c r="J886" t="s">
        <v>48</v>
      </c>
      <c r="K886" t="s">
        <v>42</v>
      </c>
      <c r="L886" t="s">
        <v>38</v>
      </c>
      <c r="M886" s="2">
        <v>0.25</v>
      </c>
      <c r="N886" t="s">
        <v>29</v>
      </c>
      <c r="O886" t="str">
        <f t="shared" si="27"/>
        <v>August</v>
      </c>
      <c r="P886" t="str">
        <f t="shared" si="26"/>
        <v>Middle-Aged</v>
      </c>
    </row>
    <row r="887" spans="1:16" x14ac:dyDescent="0.25">
      <c r="A887">
        <v>1886</v>
      </c>
      <c r="B887" s="1">
        <v>45033</v>
      </c>
      <c r="C887" t="s">
        <v>30</v>
      </c>
      <c r="D887" t="s">
        <v>79</v>
      </c>
      <c r="E887" s="3">
        <v>1496</v>
      </c>
      <c r="F887" s="3">
        <v>5</v>
      </c>
      <c r="G887" s="3">
        <v>7480</v>
      </c>
      <c r="H887" s="3">
        <v>46</v>
      </c>
      <c r="I887" t="s">
        <v>32</v>
      </c>
      <c r="J887" t="s">
        <v>55</v>
      </c>
      <c r="K887" t="s">
        <v>42</v>
      </c>
      <c r="L887" t="s">
        <v>47</v>
      </c>
      <c r="M887" s="2">
        <v>0.15</v>
      </c>
      <c r="N887" t="s">
        <v>22</v>
      </c>
      <c r="O887" t="str">
        <f t="shared" si="27"/>
        <v>April</v>
      </c>
      <c r="P887" t="str">
        <f t="shared" si="26"/>
        <v>Adult</v>
      </c>
    </row>
    <row r="888" spans="1:16" x14ac:dyDescent="0.25">
      <c r="A888">
        <v>1887</v>
      </c>
      <c r="B888" s="1">
        <v>45067</v>
      </c>
      <c r="C888" t="s">
        <v>16</v>
      </c>
      <c r="D888" t="s">
        <v>83</v>
      </c>
      <c r="E888" s="3">
        <v>1409</v>
      </c>
      <c r="F888" s="3">
        <v>4</v>
      </c>
      <c r="G888" s="3">
        <v>5636</v>
      </c>
      <c r="H888" s="3">
        <v>34</v>
      </c>
      <c r="I888" t="s">
        <v>32</v>
      </c>
      <c r="J888" t="s">
        <v>48</v>
      </c>
      <c r="K888" t="s">
        <v>37</v>
      </c>
      <c r="L888" t="s">
        <v>21</v>
      </c>
      <c r="M888" s="2">
        <v>0.15</v>
      </c>
      <c r="N888" t="s">
        <v>29</v>
      </c>
      <c r="O888" t="str">
        <f t="shared" si="27"/>
        <v>May</v>
      </c>
      <c r="P888" t="str">
        <f t="shared" si="26"/>
        <v>Adult</v>
      </c>
    </row>
    <row r="889" spans="1:16" x14ac:dyDescent="0.25">
      <c r="A889">
        <v>1888</v>
      </c>
      <c r="B889" s="1">
        <v>45003</v>
      </c>
      <c r="C889" t="s">
        <v>49</v>
      </c>
      <c r="D889" t="s">
        <v>64</v>
      </c>
      <c r="E889" s="3">
        <v>304</v>
      </c>
      <c r="F889" s="3">
        <v>1</v>
      </c>
      <c r="G889" s="3">
        <v>304</v>
      </c>
      <c r="H889" s="3">
        <v>35</v>
      </c>
      <c r="I889" t="s">
        <v>32</v>
      </c>
      <c r="J889" t="s">
        <v>43</v>
      </c>
      <c r="K889" t="s">
        <v>42</v>
      </c>
      <c r="L889" t="s">
        <v>34</v>
      </c>
      <c r="M889" s="2">
        <v>0.15</v>
      </c>
      <c r="N889" t="s">
        <v>29</v>
      </c>
      <c r="O889" t="str">
        <f t="shared" si="27"/>
        <v>March</v>
      </c>
      <c r="P889" t="str">
        <f t="shared" si="26"/>
        <v>Adult</v>
      </c>
    </row>
    <row r="890" spans="1:16" x14ac:dyDescent="0.25">
      <c r="A890">
        <v>1889</v>
      </c>
      <c r="B890" s="1">
        <v>45264</v>
      </c>
      <c r="C890" t="s">
        <v>16</v>
      </c>
      <c r="D890" t="s">
        <v>56</v>
      </c>
      <c r="E890" s="3">
        <v>896</v>
      </c>
      <c r="F890" s="3">
        <v>2</v>
      </c>
      <c r="G890" s="3">
        <v>1792</v>
      </c>
      <c r="H890" s="3">
        <v>50</v>
      </c>
      <c r="I890" t="s">
        <v>18</v>
      </c>
      <c r="J890" t="s">
        <v>41</v>
      </c>
      <c r="K890" t="s">
        <v>45</v>
      </c>
      <c r="L890" t="s">
        <v>47</v>
      </c>
      <c r="M890" s="2">
        <v>0.05</v>
      </c>
      <c r="N890" t="s">
        <v>29</v>
      </c>
      <c r="O890" t="str">
        <f t="shared" si="27"/>
        <v>December</v>
      </c>
      <c r="P890" t="str">
        <f t="shared" si="26"/>
        <v>Middle-Aged</v>
      </c>
    </row>
    <row r="891" spans="1:16" x14ac:dyDescent="0.25">
      <c r="A891">
        <v>1890</v>
      </c>
      <c r="B891" s="1">
        <v>45112</v>
      </c>
      <c r="C891" t="s">
        <v>39</v>
      </c>
      <c r="D891" t="s">
        <v>78</v>
      </c>
      <c r="E891" s="3">
        <v>886</v>
      </c>
      <c r="F891" s="3">
        <v>3</v>
      </c>
      <c r="G891" s="3">
        <v>2658</v>
      </c>
      <c r="H891" s="3">
        <v>24</v>
      </c>
      <c r="I891" t="s">
        <v>18</v>
      </c>
      <c r="J891" t="s">
        <v>26</v>
      </c>
      <c r="K891" t="s">
        <v>20</v>
      </c>
      <c r="L891" t="s">
        <v>47</v>
      </c>
      <c r="M891" s="2">
        <v>0.25</v>
      </c>
      <c r="N891" t="s">
        <v>29</v>
      </c>
      <c r="O891" t="str">
        <f t="shared" si="27"/>
        <v>July</v>
      </c>
      <c r="P891" t="str">
        <f t="shared" si="26"/>
        <v>Young Adult</v>
      </c>
    </row>
    <row r="892" spans="1:16" x14ac:dyDescent="0.25">
      <c r="A892">
        <v>1891</v>
      </c>
      <c r="B892" s="1">
        <v>45131</v>
      </c>
      <c r="C892" t="s">
        <v>16</v>
      </c>
      <c r="D892" t="s">
        <v>56</v>
      </c>
      <c r="E892" s="3">
        <v>245</v>
      </c>
      <c r="F892" s="3">
        <v>2</v>
      </c>
      <c r="G892" s="3">
        <v>490</v>
      </c>
      <c r="H892" s="3">
        <v>28</v>
      </c>
      <c r="I892" t="s">
        <v>32</v>
      </c>
      <c r="J892" t="s">
        <v>58</v>
      </c>
      <c r="K892" t="s">
        <v>27</v>
      </c>
      <c r="L892" t="s">
        <v>38</v>
      </c>
      <c r="M892" s="2">
        <v>0.15</v>
      </c>
      <c r="N892" t="s">
        <v>22</v>
      </c>
      <c r="O892" t="str">
        <f t="shared" si="27"/>
        <v>July</v>
      </c>
      <c r="P892" t="str">
        <f t="shared" si="26"/>
        <v>Young Adult</v>
      </c>
    </row>
    <row r="893" spans="1:16" x14ac:dyDescent="0.25">
      <c r="A893">
        <v>1892</v>
      </c>
      <c r="B893" s="1">
        <v>45225</v>
      </c>
      <c r="C893" t="s">
        <v>24</v>
      </c>
      <c r="D893" t="s">
        <v>84</v>
      </c>
      <c r="E893" s="3">
        <v>722</v>
      </c>
      <c r="F893" s="3">
        <v>2</v>
      </c>
      <c r="G893" s="3">
        <v>1444</v>
      </c>
      <c r="H893" s="3">
        <v>38</v>
      </c>
      <c r="I893" t="s">
        <v>18</v>
      </c>
      <c r="J893" t="s">
        <v>48</v>
      </c>
      <c r="K893" t="s">
        <v>33</v>
      </c>
      <c r="L893" t="s">
        <v>38</v>
      </c>
      <c r="M893" s="2">
        <v>0.15</v>
      </c>
      <c r="N893" t="s">
        <v>29</v>
      </c>
      <c r="O893" t="str">
        <f t="shared" si="27"/>
        <v>October</v>
      </c>
      <c r="P893" t="str">
        <f t="shared" si="26"/>
        <v>Adult</v>
      </c>
    </row>
    <row r="894" spans="1:16" x14ac:dyDescent="0.25">
      <c r="A894">
        <v>1893</v>
      </c>
      <c r="B894" s="1">
        <v>45281</v>
      </c>
      <c r="C894" t="s">
        <v>16</v>
      </c>
      <c r="D894" t="s">
        <v>62</v>
      </c>
      <c r="E894" s="3">
        <v>752</v>
      </c>
      <c r="F894" s="3">
        <v>1</v>
      </c>
      <c r="G894" s="3">
        <v>752</v>
      </c>
      <c r="H894" s="3">
        <v>47</v>
      </c>
      <c r="I894" t="s">
        <v>32</v>
      </c>
      <c r="J894" t="s">
        <v>26</v>
      </c>
      <c r="K894" t="s">
        <v>20</v>
      </c>
      <c r="L894" t="s">
        <v>47</v>
      </c>
      <c r="M894" s="2">
        <v>0.1</v>
      </c>
      <c r="N894" t="s">
        <v>29</v>
      </c>
      <c r="O894" t="str">
        <f t="shared" si="27"/>
        <v>December</v>
      </c>
      <c r="P894" t="str">
        <f t="shared" si="26"/>
        <v>Adult</v>
      </c>
    </row>
    <row r="895" spans="1:16" x14ac:dyDescent="0.25">
      <c r="A895">
        <v>1894</v>
      </c>
      <c r="B895" s="1">
        <v>45327</v>
      </c>
      <c r="C895" t="s">
        <v>24</v>
      </c>
      <c r="D895" t="s">
        <v>84</v>
      </c>
      <c r="E895" s="3">
        <v>1350</v>
      </c>
      <c r="F895" s="3">
        <v>5</v>
      </c>
      <c r="G895" s="3">
        <v>6750</v>
      </c>
      <c r="H895" s="3">
        <v>54</v>
      </c>
      <c r="I895" t="s">
        <v>18</v>
      </c>
      <c r="J895" t="s">
        <v>19</v>
      </c>
      <c r="K895" t="s">
        <v>27</v>
      </c>
      <c r="L895" t="s">
        <v>38</v>
      </c>
      <c r="M895" s="2">
        <v>0.15</v>
      </c>
      <c r="N895" t="s">
        <v>29</v>
      </c>
      <c r="O895" t="str">
        <f t="shared" si="27"/>
        <v>February</v>
      </c>
      <c r="P895" t="str">
        <f t="shared" si="26"/>
        <v>Middle-Aged</v>
      </c>
    </row>
    <row r="896" spans="1:16" x14ac:dyDescent="0.25">
      <c r="A896">
        <v>1895</v>
      </c>
      <c r="B896" s="1">
        <v>45181</v>
      </c>
      <c r="C896" t="s">
        <v>39</v>
      </c>
      <c r="D896" t="s">
        <v>46</v>
      </c>
      <c r="E896" s="3">
        <v>420</v>
      </c>
      <c r="F896" s="3">
        <v>2</v>
      </c>
      <c r="G896" s="3">
        <v>840</v>
      </c>
      <c r="H896" s="3">
        <v>34</v>
      </c>
      <c r="I896" t="s">
        <v>18</v>
      </c>
      <c r="J896" t="s">
        <v>26</v>
      </c>
      <c r="K896" t="s">
        <v>37</v>
      </c>
      <c r="L896" t="s">
        <v>38</v>
      </c>
      <c r="M896" s="2">
        <v>0.15</v>
      </c>
      <c r="N896" t="s">
        <v>22</v>
      </c>
      <c r="O896" t="str">
        <f t="shared" si="27"/>
        <v>September</v>
      </c>
      <c r="P896" t="str">
        <f t="shared" si="26"/>
        <v>Adult</v>
      </c>
    </row>
    <row r="897" spans="1:16" x14ac:dyDescent="0.25">
      <c r="A897">
        <v>1896</v>
      </c>
      <c r="B897" s="1">
        <v>45201</v>
      </c>
      <c r="C897" t="s">
        <v>24</v>
      </c>
      <c r="D897" t="s">
        <v>76</v>
      </c>
      <c r="E897" s="3">
        <v>762</v>
      </c>
      <c r="F897" s="3">
        <v>1</v>
      </c>
      <c r="G897" s="3">
        <v>762</v>
      </c>
      <c r="H897" s="3">
        <v>57</v>
      </c>
      <c r="I897" t="s">
        <v>32</v>
      </c>
      <c r="J897" t="s">
        <v>55</v>
      </c>
      <c r="K897" t="s">
        <v>20</v>
      </c>
      <c r="L897" t="s">
        <v>28</v>
      </c>
      <c r="M897" s="2">
        <v>0.2</v>
      </c>
      <c r="N897" t="s">
        <v>29</v>
      </c>
      <c r="O897" t="str">
        <f t="shared" si="27"/>
        <v>October</v>
      </c>
      <c r="P897" t="str">
        <f t="shared" si="26"/>
        <v>Middle-Aged</v>
      </c>
    </row>
    <row r="898" spans="1:16" x14ac:dyDescent="0.25">
      <c r="A898">
        <v>1897</v>
      </c>
      <c r="B898" s="1">
        <v>45054</v>
      </c>
      <c r="C898" t="s">
        <v>39</v>
      </c>
      <c r="D898" t="s">
        <v>78</v>
      </c>
      <c r="E898" s="3">
        <v>716</v>
      </c>
      <c r="F898" s="3">
        <v>3</v>
      </c>
      <c r="G898" s="3">
        <v>2148</v>
      </c>
      <c r="H898" s="3">
        <v>50</v>
      </c>
      <c r="I898" t="s">
        <v>32</v>
      </c>
      <c r="J898" t="s">
        <v>26</v>
      </c>
      <c r="K898" t="s">
        <v>33</v>
      </c>
      <c r="L898" t="s">
        <v>21</v>
      </c>
      <c r="M898" s="2">
        <v>0.25</v>
      </c>
      <c r="N898" t="s">
        <v>29</v>
      </c>
      <c r="O898" t="str">
        <f t="shared" si="27"/>
        <v>May</v>
      </c>
      <c r="P898" t="str">
        <f t="shared" ref="P898:P961" si="28">IF(H898&lt;13, "Child", IF(H898&lt;18, "Teen", IF(H898&lt;30, "Young Adult", IF(H898&lt;50, "Adult", IF(H898&lt;65, "Middle-Aged", "Senior")))))</f>
        <v>Middle-Aged</v>
      </c>
    </row>
    <row r="899" spans="1:16" x14ac:dyDescent="0.25">
      <c r="A899">
        <v>1898</v>
      </c>
      <c r="B899" s="1">
        <v>45230</v>
      </c>
      <c r="C899" t="s">
        <v>30</v>
      </c>
      <c r="D899" t="s">
        <v>31</v>
      </c>
      <c r="E899" s="3">
        <v>1143</v>
      </c>
      <c r="F899" s="3">
        <v>3</v>
      </c>
      <c r="G899" s="3">
        <v>3429</v>
      </c>
      <c r="H899" s="3">
        <v>49</v>
      </c>
      <c r="I899" t="s">
        <v>18</v>
      </c>
      <c r="J899" t="s">
        <v>19</v>
      </c>
      <c r="K899" t="s">
        <v>45</v>
      </c>
      <c r="L899" t="s">
        <v>34</v>
      </c>
      <c r="M899" s="2">
        <v>0.2</v>
      </c>
      <c r="N899" t="s">
        <v>29</v>
      </c>
      <c r="O899" t="str">
        <f t="shared" ref="O899:O962" si="29">TEXT(B899, "MMMM")</f>
        <v>October</v>
      </c>
      <c r="P899" t="str">
        <f t="shared" si="28"/>
        <v>Adult</v>
      </c>
    </row>
    <row r="900" spans="1:16" x14ac:dyDescent="0.25">
      <c r="A900">
        <v>1899</v>
      </c>
      <c r="B900" s="1">
        <v>44972</v>
      </c>
      <c r="C900" t="s">
        <v>52</v>
      </c>
      <c r="D900" t="s">
        <v>53</v>
      </c>
      <c r="E900" s="3">
        <v>1115</v>
      </c>
      <c r="F900" s="3">
        <v>4</v>
      </c>
      <c r="G900" s="3">
        <v>4460</v>
      </c>
      <c r="H900" s="3">
        <v>34</v>
      </c>
      <c r="I900" t="s">
        <v>18</v>
      </c>
      <c r="J900" t="s">
        <v>19</v>
      </c>
      <c r="K900" t="s">
        <v>20</v>
      </c>
      <c r="L900" t="s">
        <v>47</v>
      </c>
      <c r="M900" s="2">
        <v>0.1</v>
      </c>
      <c r="N900" t="s">
        <v>29</v>
      </c>
      <c r="O900" t="str">
        <f t="shared" si="29"/>
        <v>February</v>
      </c>
      <c r="P900" t="str">
        <f t="shared" si="28"/>
        <v>Adult</v>
      </c>
    </row>
    <row r="901" spans="1:16" x14ac:dyDescent="0.25">
      <c r="A901">
        <v>1900</v>
      </c>
      <c r="B901" s="1">
        <v>45253</v>
      </c>
      <c r="C901" t="s">
        <v>39</v>
      </c>
      <c r="D901" t="s">
        <v>40</v>
      </c>
      <c r="E901" s="3">
        <v>820</v>
      </c>
      <c r="F901" s="3">
        <v>4</v>
      </c>
      <c r="G901" s="3">
        <v>3280</v>
      </c>
      <c r="H901" s="3">
        <v>20</v>
      </c>
      <c r="I901" t="s">
        <v>32</v>
      </c>
      <c r="J901" t="s">
        <v>60</v>
      </c>
      <c r="K901" t="s">
        <v>33</v>
      </c>
      <c r="L901" t="s">
        <v>28</v>
      </c>
      <c r="M901" s="2">
        <v>0.1</v>
      </c>
      <c r="N901" t="s">
        <v>22</v>
      </c>
      <c r="O901" t="str">
        <f t="shared" si="29"/>
        <v>November</v>
      </c>
      <c r="P901" t="str">
        <f t="shared" si="28"/>
        <v>Young Adult</v>
      </c>
    </row>
    <row r="902" spans="1:16" x14ac:dyDescent="0.25">
      <c r="A902">
        <v>1901</v>
      </c>
      <c r="B902" s="1">
        <v>45095</v>
      </c>
      <c r="C902" t="s">
        <v>52</v>
      </c>
      <c r="D902" t="s">
        <v>73</v>
      </c>
      <c r="E902" s="3">
        <v>152</v>
      </c>
      <c r="F902" s="3">
        <v>1</v>
      </c>
      <c r="G902" s="3">
        <v>152</v>
      </c>
      <c r="H902" s="3">
        <v>54</v>
      </c>
      <c r="I902" t="s">
        <v>18</v>
      </c>
      <c r="J902" t="s">
        <v>58</v>
      </c>
      <c r="K902" t="s">
        <v>20</v>
      </c>
      <c r="L902" t="s">
        <v>34</v>
      </c>
      <c r="M902" s="2">
        <v>0.25</v>
      </c>
      <c r="N902" t="s">
        <v>29</v>
      </c>
      <c r="O902" t="str">
        <f t="shared" si="29"/>
        <v>June</v>
      </c>
      <c r="P902" t="str">
        <f t="shared" si="28"/>
        <v>Middle-Aged</v>
      </c>
    </row>
    <row r="903" spans="1:16" x14ac:dyDescent="0.25">
      <c r="A903">
        <v>1902</v>
      </c>
      <c r="B903" s="1">
        <v>45064</v>
      </c>
      <c r="C903" t="s">
        <v>52</v>
      </c>
      <c r="D903" t="s">
        <v>53</v>
      </c>
      <c r="E903" s="3">
        <v>139</v>
      </c>
      <c r="F903" s="3">
        <v>3</v>
      </c>
      <c r="G903" s="3">
        <v>417</v>
      </c>
      <c r="H903" s="3">
        <v>38</v>
      </c>
      <c r="I903" t="s">
        <v>18</v>
      </c>
      <c r="J903" t="s">
        <v>51</v>
      </c>
      <c r="K903" t="s">
        <v>20</v>
      </c>
      <c r="L903" t="s">
        <v>21</v>
      </c>
      <c r="M903" s="2">
        <v>0.2</v>
      </c>
      <c r="N903" t="s">
        <v>29</v>
      </c>
      <c r="O903" t="str">
        <f t="shared" si="29"/>
        <v>May</v>
      </c>
      <c r="P903" t="str">
        <f t="shared" si="28"/>
        <v>Adult</v>
      </c>
    </row>
    <row r="904" spans="1:16" x14ac:dyDescent="0.25">
      <c r="A904">
        <v>1903</v>
      </c>
      <c r="B904" s="1">
        <v>45184</v>
      </c>
      <c r="C904" t="s">
        <v>52</v>
      </c>
      <c r="D904" t="s">
        <v>67</v>
      </c>
      <c r="E904" s="3">
        <v>32</v>
      </c>
      <c r="F904" s="3">
        <v>1</v>
      </c>
      <c r="G904" s="3">
        <v>32</v>
      </c>
      <c r="H904" s="3">
        <v>51</v>
      </c>
      <c r="I904" t="s">
        <v>18</v>
      </c>
      <c r="J904" t="s">
        <v>63</v>
      </c>
      <c r="K904" t="s">
        <v>27</v>
      </c>
      <c r="L904" t="s">
        <v>28</v>
      </c>
      <c r="M904" s="2">
        <v>0.25</v>
      </c>
      <c r="N904" t="s">
        <v>29</v>
      </c>
      <c r="O904" t="str">
        <f t="shared" si="29"/>
        <v>September</v>
      </c>
      <c r="P904" t="str">
        <f t="shared" si="28"/>
        <v>Middle-Aged</v>
      </c>
    </row>
    <row r="905" spans="1:16" x14ac:dyDescent="0.25">
      <c r="A905">
        <v>1904</v>
      </c>
      <c r="B905" s="1">
        <v>45069</v>
      </c>
      <c r="C905" t="s">
        <v>35</v>
      </c>
      <c r="D905" t="s">
        <v>70</v>
      </c>
      <c r="E905" s="3">
        <v>820</v>
      </c>
      <c r="F905" s="3">
        <v>1</v>
      </c>
      <c r="G905" s="3">
        <v>820</v>
      </c>
      <c r="H905" s="3">
        <v>31</v>
      </c>
      <c r="I905" t="s">
        <v>18</v>
      </c>
      <c r="J905" t="s">
        <v>60</v>
      </c>
      <c r="K905" t="s">
        <v>33</v>
      </c>
      <c r="L905" t="s">
        <v>38</v>
      </c>
      <c r="M905" s="2">
        <v>0.05</v>
      </c>
      <c r="N905" t="s">
        <v>29</v>
      </c>
      <c r="O905" t="str">
        <f t="shared" si="29"/>
        <v>May</v>
      </c>
      <c r="P905" t="str">
        <f t="shared" si="28"/>
        <v>Adult</v>
      </c>
    </row>
    <row r="906" spans="1:16" x14ac:dyDescent="0.25">
      <c r="A906">
        <v>1905</v>
      </c>
      <c r="B906" s="1">
        <v>44932</v>
      </c>
      <c r="C906" t="s">
        <v>30</v>
      </c>
      <c r="D906" t="s">
        <v>69</v>
      </c>
      <c r="E906" s="3">
        <v>639</v>
      </c>
      <c r="F906" s="3">
        <v>1</v>
      </c>
      <c r="G906" s="3">
        <v>639</v>
      </c>
      <c r="H906" s="3">
        <v>31</v>
      </c>
      <c r="I906" t="s">
        <v>18</v>
      </c>
      <c r="J906" t="s">
        <v>55</v>
      </c>
      <c r="K906" t="s">
        <v>33</v>
      </c>
      <c r="L906" t="s">
        <v>34</v>
      </c>
      <c r="M906" s="2">
        <v>0.3</v>
      </c>
      <c r="N906" t="s">
        <v>22</v>
      </c>
      <c r="O906" t="str">
        <f t="shared" si="29"/>
        <v>January</v>
      </c>
      <c r="P906" t="str">
        <f t="shared" si="28"/>
        <v>Adult</v>
      </c>
    </row>
    <row r="907" spans="1:16" x14ac:dyDescent="0.25">
      <c r="A907">
        <v>1906</v>
      </c>
      <c r="B907" s="1">
        <v>45095</v>
      </c>
      <c r="C907" t="s">
        <v>16</v>
      </c>
      <c r="D907" t="s">
        <v>56</v>
      </c>
      <c r="E907" s="3">
        <v>240</v>
      </c>
      <c r="F907" s="3">
        <v>2</v>
      </c>
      <c r="G907" s="3">
        <v>480</v>
      </c>
      <c r="H907" s="3">
        <v>26</v>
      </c>
      <c r="I907" t="s">
        <v>18</v>
      </c>
      <c r="J907" t="s">
        <v>41</v>
      </c>
      <c r="K907" t="s">
        <v>42</v>
      </c>
      <c r="L907" t="s">
        <v>38</v>
      </c>
      <c r="M907" s="2">
        <v>0.2</v>
      </c>
      <c r="N907" t="s">
        <v>22</v>
      </c>
      <c r="O907" t="str">
        <f t="shared" si="29"/>
        <v>June</v>
      </c>
      <c r="P907" t="str">
        <f t="shared" si="28"/>
        <v>Young Adult</v>
      </c>
    </row>
    <row r="908" spans="1:16" x14ac:dyDescent="0.25">
      <c r="A908">
        <v>1907</v>
      </c>
      <c r="B908" s="1">
        <v>45313</v>
      </c>
      <c r="C908" t="s">
        <v>52</v>
      </c>
      <c r="D908" t="s">
        <v>73</v>
      </c>
      <c r="E908" s="3">
        <v>1026</v>
      </c>
      <c r="F908" s="3">
        <v>1</v>
      </c>
      <c r="G908" s="3">
        <v>1026</v>
      </c>
      <c r="H908" s="3">
        <v>18</v>
      </c>
      <c r="I908" t="s">
        <v>32</v>
      </c>
      <c r="J908" t="s">
        <v>63</v>
      </c>
      <c r="K908" t="s">
        <v>45</v>
      </c>
      <c r="L908" t="s">
        <v>38</v>
      </c>
      <c r="M908" s="2">
        <v>0.2</v>
      </c>
      <c r="N908" t="s">
        <v>22</v>
      </c>
      <c r="O908" t="str">
        <f t="shared" si="29"/>
        <v>January</v>
      </c>
      <c r="P908" t="str">
        <f t="shared" si="28"/>
        <v>Young Adult</v>
      </c>
    </row>
    <row r="909" spans="1:16" x14ac:dyDescent="0.25">
      <c r="A909">
        <v>1908</v>
      </c>
      <c r="B909" s="1">
        <v>44969</v>
      </c>
      <c r="C909" t="s">
        <v>49</v>
      </c>
      <c r="D909" t="s">
        <v>81</v>
      </c>
      <c r="E909" s="3">
        <v>1255</v>
      </c>
      <c r="F909" s="3">
        <v>3</v>
      </c>
      <c r="G909" s="3">
        <v>3765</v>
      </c>
      <c r="H909" s="3">
        <v>50</v>
      </c>
      <c r="I909" t="s">
        <v>32</v>
      </c>
      <c r="J909" t="s">
        <v>60</v>
      </c>
      <c r="K909" t="s">
        <v>37</v>
      </c>
      <c r="L909" t="s">
        <v>28</v>
      </c>
      <c r="M909" s="2">
        <v>0.25</v>
      </c>
      <c r="N909" t="s">
        <v>29</v>
      </c>
      <c r="O909" t="str">
        <f t="shared" si="29"/>
        <v>February</v>
      </c>
      <c r="P909" t="str">
        <f t="shared" si="28"/>
        <v>Middle-Aged</v>
      </c>
    </row>
    <row r="910" spans="1:16" x14ac:dyDescent="0.25">
      <c r="A910">
        <v>1909</v>
      </c>
      <c r="B910" s="1">
        <v>45140</v>
      </c>
      <c r="C910" t="s">
        <v>49</v>
      </c>
      <c r="D910" t="s">
        <v>66</v>
      </c>
      <c r="E910" s="3">
        <v>75</v>
      </c>
      <c r="F910" s="3">
        <v>2</v>
      </c>
      <c r="G910" s="3">
        <v>150</v>
      </c>
      <c r="H910" s="3">
        <v>39</v>
      </c>
      <c r="I910" t="s">
        <v>32</v>
      </c>
      <c r="J910" t="s">
        <v>51</v>
      </c>
      <c r="K910" t="s">
        <v>45</v>
      </c>
      <c r="L910" t="s">
        <v>34</v>
      </c>
      <c r="M910" s="2">
        <v>0.3</v>
      </c>
      <c r="N910" t="s">
        <v>22</v>
      </c>
      <c r="O910" t="str">
        <f t="shared" si="29"/>
        <v>August</v>
      </c>
      <c r="P910" t="str">
        <f t="shared" si="28"/>
        <v>Adult</v>
      </c>
    </row>
    <row r="911" spans="1:16" x14ac:dyDescent="0.25">
      <c r="A911">
        <v>1910</v>
      </c>
      <c r="B911" s="1">
        <v>45158</v>
      </c>
      <c r="C911" t="s">
        <v>30</v>
      </c>
      <c r="D911" t="s">
        <v>77</v>
      </c>
      <c r="E911" s="3">
        <v>1114</v>
      </c>
      <c r="F911" s="3">
        <v>1</v>
      </c>
      <c r="G911" s="3">
        <v>1114</v>
      </c>
      <c r="H911" s="3">
        <v>26</v>
      </c>
      <c r="I911" t="s">
        <v>18</v>
      </c>
      <c r="J911" t="s">
        <v>55</v>
      </c>
      <c r="K911" t="s">
        <v>37</v>
      </c>
      <c r="L911" t="s">
        <v>28</v>
      </c>
      <c r="M911" s="2">
        <v>0.3</v>
      </c>
      <c r="N911" t="s">
        <v>22</v>
      </c>
      <c r="O911" t="str">
        <f t="shared" si="29"/>
        <v>August</v>
      </c>
      <c r="P911" t="str">
        <f t="shared" si="28"/>
        <v>Young Adult</v>
      </c>
    </row>
    <row r="912" spans="1:16" x14ac:dyDescent="0.25">
      <c r="A912">
        <v>1911</v>
      </c>
      <c r="B912" s="1">
        <v>45221</v>
      </c>
      <c r="C912" t="s">
        <v>24</v>
      </c>
      <c r="D912" t="s">
        <v>84</v>
      </c>
      <c r="E912" s="3">
        <v>1381</v>
      </c>
      <c r="F912" s="3">
        <v>3</v>
      </c>
      <c r="G912" s="3">
        <v>4143</v>
      </c>
      <c r="H912" s="3">
        <v>31</v>
      </c>
      <c r="I912" t="s">
        <v>18</v>
      </c>
      <c r="J912" t="s">
        <v>19</v>
      </c>
      <c r="K912" t="s">
        <v>42</v>
      </c>
      <c r="L912" t="s">
        <v>38</v>
      </c>
      <c r="M912" s="2">
        <v>0.1</v>
      </c>
      <c r="N912" t="s">
        <v>22</v>
      </c>
      <c r="O912" t="str">
        <f t="shared" si="29"/>
        <v>October</v>
      </c>
      <c r="P912" t="str">
        <f t="shared" si="28"/>
        <v>Adult</v>
      </c>
    </row>
    <row r="913" spans="1:16" x14ac:dyDescent="0.25">
      <c r="A913">
        <v>1912</v>
      </c>
      <c r="B913" s="1">
        <v>45069</v>
      </c>
      <c r="C913" t="s">
        <v>24</v>
      </c>
      <c r="D913" t="s">
        <v>84</v>
      </c>
      <c r="E913" s="3">
        <v>1408</v>
      </c>
      <c r="F913" s="3">
        <v>1</v>
      </c>
      <c r="G913" s="3">
        <v>1408</v>
      </c>
      <c r="H913" s="3">
        <v>38</v>
      </c>
      <c r="I913" t="s">
        <v>18</v>
      </c>
      <c r="J913" t="s">
        <v>26</v>
      </c>
      <c r="K913" t="s">
        <v>42</v>
      </c>
      <c r="L913" t="s">
        <v>34</v>
      </c>
      <c r="M913" s="2">
        <v>0.05</v>
      </c>
      <c r="N913" t="s">
        <v>22</v>
      </c>
      <c r="O913" t="str">
        <f t="shared" si="29"/>
        <v>May</v>
      </c>
      <c r="P913" t="str">
        <f t="shared" si="28"/>
        <v>Adult</v>
      </c>
    </row>
    <row r="914" spans="1:16" x14ac:dyDescent="0.25">
      <c r="A914">
        <v>1913</v>
      </c>
      <c r="B914" s="1">
        <v>45125</v>
      </c>
      <c r="C914" t="s">
        <v>39</v>
      </c>
      <c r="D914" t="s">
        <v>78</v>
      </c>
      <c r="E914" s="3">
        <v>302</v>
      </c>
      <c r="F914" s="3">
        <v>5</v>
      </c>
      <c r="G914" s="3">
        <v>1510</v>
      </c>
      <c r="H914" s="3">
        <v>43</v>
      </c>
      <c r="I914" t="s">
        <v>32</v>
      </c>
      <c r="J914" t="s">
        <v>63</v>
      </c>
      <c r="K914" t="s">
        <v>20</v>
      </c>
      <c r="L914" t="s">
        <v>47</v>
      </c>
      <c r="M914" s="2">
        <v>0.15</v>
      </c>
      <c r="N914" t="s">
        <v>29</v>
      </c>
      <c r="O914" t="str">
        <f t="shared" si="29"/>
        <v>July</v>
      </c>
      <c r="P914" t="str">
        <f t="shared" si="28"/>
        <v>Adult</v>
      </c>
    </row>
    <row r="915" spans="1:16" x14ac:dyDescent="0.25">
      <c r="A915">
        <v>1914</v>
      </c>
      <c r="B915" s="1">
        <v>45161</v>
      </c>
      <c r="C915" t="s">
        <v>35</v>
      </c>
      <c r="D915" t="s">
        <v>74</v>
      </c>
      <c r="E915" s="3">
        <v>928</v>
      </c>
      <c r="F915" s="3">
        <v>4</v>
      </c>
      <c r="G915" s="3">
        <v>3712</v>
      </c>
      <c r="H915" s="3">
        <v>39</v>
      </c>
      <c r="I915" t="s">
        <v>32</v>
      </c>
      <c r="J915" t="s">
        <v>63</v>
      </c>
      <c r="K915" t="s">
        <v>37</v>
      </c>
      <c r="L915" t="s">
        <v>34</v>
      </c>
      <c r="M915" s="2">
        <v>0.25</v>
      </c>
      <c r="N915" t="s">
        <v>22</v>
      </c>
      <c r="O915" t="str">
        <f t="shared" si="29"/>
        <v>August</v>
      </c>
      <c r="P915" t="str">
        <f t="shared" si="28"/>
        <v>Adult</v>
      </c>
    </row>
    <row r="916" spans="1:16" x14ac:dyDescent="0.25">
      <c r="A916">
        <v>1915</v>
      </c>
      <c r="B916" s="1">
        <v>45232</v>
      </c>
      <c r="C916" t="s">
        <v>30</v>
      </c>
      <c r="D916" t="s">
        <v>79</v>
      </c>
      <c r="E916" s="3">
        <v>763</v>
      </c>
      <c r="F916" s="3">
        <v>2</v>
      </c>
      <c r="G916" s="3">
        <v>1526</v>
      </c>
      <c r="H916" s="3">
        <v>43</v>
      </c>
      <c r="I916" t="s">
        <v>32</v>
      </c>
      <c r="J916" t="s">
        <v>63</v>
      </c>
      <c r="K916" t="s">
        <v>27</v>
      </c>
      <c r="L916" t="s">
        <v>28</v>
      </c>
      <c r="M916" s="2">
        <v>0.2</v>
      </c>
      <c r="N916" t="s">
        <v>29</v>
      </c>
      <c r="O916" t="str">
        <f t="shared" si="29"/>
        <v>November</v>
      </c>
      <c r="P916" t="str">
        <f t="shared" si="28"/>
        <v>Adult</v>
      </c>
    </row>
    <row r="917" spans="1:16" x14ac:dyDescent="0.25">
      <c r="A917">
        <v>1916</v>
      </c>
      <c r="B917" s="1">
        <v>45007</v>
      </c>
      <c r="C917" t="s">
        <v>52</v>
      </c>
      <c r="D917" t="s">
        <v>82</v>
      </c>
      <c r="E917" s="3">
        <v>788</v>
      </c>
      <c r="F917" s="3">
        <v>4</v>
      </c>
      <c r="G917" s="3">
        <v>3152</v>
      </c>
      <c r="H917" s="3">
        <v>26</v>
      </c>
      <c r="I917" t="s">
        <v>18</v>
      </c>
      <c r="J917" t="s">
        <v>55</v>
      </c>
      <c r="K917" t="s">
        <v>37</v>
      </c>
      <c r="L917" t="s">
        <v>21</v>
      </c>
      <c r="M917" s="2">
        <v>0.15</v>
      </c>
      <c r="N917" t="s">
        <v>29</v>
      </c>
      <c r="O917" t="str">
        <f t="shared" si="29"/>
        <v>March</v>
      </c>
      <c r="P917" t="str">
        <f t="shared" si="28"/>
        <v>Young Adult</v>
      </c>
    </row>
    <row r="918" spans="1:16" x14ac:dyDescent="0.25">
      <c r="A918">
        <v>1917</v>
      </c>
      <c r="B918" s="1">
        <v>45072</v>
      </c>
      <c r="C918" t="s">
        <v>49</v>
      </c>
      <c r="D918" t="s">
        <v>57</v>
      </c>
      <c r="E918" s="3">
        <v>430</v>
      </c>
      <c r="F918" s="3">
        <v>1</v>
      </c>
      <c r="G918" s="3">
        <v>430</v>
      </c>
      <c r="H918" s="3">
        <v>49</v>
      </c>
      <c r="I918" t="s">
        <v>32</v>
      </c>
      <c r="J918" t="s">
        <v>41</v>
      </c>
      <c r="K918" t="s">
        <v>27</v>
      </c>
      <c r="L918" t="s">
        <v>38</v>
      </c>
      <c r="M918" s="2">
        <v>0.25</v>
      </c>
      <c r="N918" t="s">
        <v>29</v>
      </c>
      <c r="O918" t="str">
        <f t="shared" si="29"/>
        <v>May</v>
      </c>
      <c r="P918" t="str">
        <f t="shared" si="28"/>
        <v>Adult</v>
      </c>
    </row>
    <row r="919" spans="1:16" x14ac:dyDescent="0.25">
      <c r="A919">
        <v>1918</v>
      </c>
      <c r="B919" s="1">
        <v>45069</v>
      </c>
      <c r="C919" t="s">
        <v>39</v>
      </c>
      <c r="D919" t="s">
        <v>61</v>
      </c>
      <c r="E919" s="3">
        <v>385</v>
      </c>
      <c r="F919" s="3">
        <v>4</v>
      </c>
      <c r="G919" s="3">
        <v>1540</v>
      </c>
      <c r="H919" s="3">
        <v>32</v>
      </c>
      <c r="I919" t="s">
        <v>32</v>
      </c>
      <c r="J919" t="s">
        <v>60</v>
      </c>
      <c r="K919" t="s">
        <v>37</v>
      </c>
      <c r="L919" t="s">
        <v>28</v>
      </c>
      <c r="M919" s="2">
        <v>0.05</v>
      </c>
      <c r="N919" t="s">
        <v>22</v>
      </c>
      <c r="O919" t="str">
        <f t="shared" si="29"/>
        <v>May</v>
      </c>
      <c r="P919" t="str">
        <f t="shared" si="28"/>
        <v>Adult</v>
      </c>
    </row>
    <row r="920" spans="1:16" x14ac:dyDescent="0.25">
      <c r="A920">
        <v>1919</v>
      </c>
      <c r="B920" s="1">
        <v>45156</v>
      </c>
      <c r="C920" t="s">
        <v>30</v>
      </c>
      <c r="D920" t="s">
        <v>31</v>
      </c>
      <c r="E920" s="3">
        <v>125</v>
      </c>
      <c r="F920" s="3">
        <v>5</v>
      </c>
      <c r="G920" s="3">
        <v>625</v>
      </c>
      <c r="H920" s="3">
        <v>36</v>
      </c>
      <c r="I920" t="s">
        <v>18</v>
      </c>
      <c r="J920" t="s">
        <v>43</v>
      </c>
      <c r="K920" t="s">
        <v>42</v>
      </c>
      <c r="L920" t="s">
        <v>47</v>
      </c>
      <c r="M920" s="2">
        <v>0.15</v>
      </c>
      <c r="N920" t="s">
        <v>29</v>
      </c>
      <c r="O920" t="str">
        <f t="shared" si="29"/>
        <v>August</v>
      </c>
      <c r="P920" t="str">
        <f t="shared" si="28"/>
        <v>Adult</v>
      </c>
    </row>
    <row r="921" spans="1:16" x14ac:dyDescent="0.25">
      <c r="A921">
        <v>1920</v>
      </c>
      <c r="B921" s="1">
        <v>45018</v>
      </c>
      <c r="C921" t="s">
        <v>49</v>
      </c>
      <c r="D921" t="s">
        <v>64</v>
      </c>
      <c r="E921" s="3">
        <v>31</v>
      </c>
      <c r="F921" s="3">
        <v>2</v>
      </c>
      <c r="G921" s="3">
        <v>62</v>
      </c>
      <c r="H921" s="3">
        <v>36</v>
      </c>
      <c r="I921" t="s">
        <v>32</v>
      </c>
      <c r="J921" t="s">
        <v>58</v>
      </c>
      <c r="K921" t="s">
        <v>27</v>
      </c>
      <c r="L921" t="s">
        <v>28</v>
      </c>
      <c r="M921" s="2">
        <v>0.25</v>
      </c>
      <c r="N921" t="s">
        <v>22</v>
      </c>
      <c r="O921" t="str">
        <f t="shared" si="29"/>
        <v>April</v>
      </c>
      <c r="P921" t="str">
        <f t="shared" si="28"/>
        <v>Adult</v>
      </c>
    </row>
    <row r="922" spans="1:16" x14ac:dyDescent="0.25">
      <c r="A922">
        <v>1921</v>
      </c>
      <c r="B922" s="1">
        <v>45134</v>
      </c>
      <c r="C922" t="s">
        <v>49</v>
      </c>
      <c r="D922" t="s">
        <v>66</v>
      </c>
      <c r="E922" s="3">
        <v>866</v>
      </c>
      <c r="F922" s="3">
        <v>2</v>
      </c>
      <c r="G922" s="3">
        <v>1732</v>
      </c>
      <c r="H922" s="3">
        <v>20</v>
      </c>
      <c r="I922" t="s">
        <v>32</v>
      </c>
      <c r="J922" t="s">
        <v>51</v>
      </c>
      <c r="K922" t="s">
        <v>42</v>
      </c>
      <c r="L922" t="s">
        <v>38</v>
      </c>
      <c r="M922" s="2">
        <v>0.25</v>
      </c>
      <c r="N922" t="s">
        <v>29</v>
      </c>
      <c r="O922" t="str">
        <f t="shared" si="29"/>
        <v>July</v>
      </c>
      <c r="P922" t="str">
        <f t="shared" si="28"/>
        <v>Young Adult</v>
      </c>
    </row>
    <row r="923" spans="1:16" x14ac:dyDescent="0.25">
      <c r="A923">
        <v>1922</v>
      </c>
      <c r="B923" s="1">
        <v>45192</v>
      </c>
      <c r="C923" t="s">
        <v>49</v>
      </c>
      <c r="D923" t="s">
        <v>57</v>
      </c>
      <c r="E923" s="3">
        <v>185</v>
      </c>
      <c r="F923" s="3">
        <v>1</v>
      </c>
      <c r="G923" s="3">
        <v>185</v>
      </c>
      <c r="H923" s="3">
        <v>39</v>
      </c>
      <c r="I923" t="s">
        <v>18</v>
      </c>
      <c r="J923" t="s">
        <v>41</v>
      </c>
      <c r="K923" t="s">
        <v>45</v>
      </c>
      <c r="L923" t="s">
        <v>21</v>
      </c>
      <c r="M923" s="2">
        <v>0.2</v>
      </c>
      <c r="N923" t="s">
        <v>29</v>
      </c>
      <c r="O923" t="str">
        <f t="shared" si="29"/>
        <v>September</v>
      </c>
      <c r="P923" t="str">
        <f t="shared" si="28"/>
        <v>Adult</v>
      </c>
    </row>
    <row r="924" spans="1:16" x14ac:dyDescent="0.25">
      <c r="A924">
        <v>1923</v>
      </c>
      <c r="B924" s="1">
        <v>44967</v>
      </c>
      <c r="C924" t="s">
        <v>52</v>
      </c>
      <c r="D924" t="s">
        <v>65</v>
      </c>
      <c r="E924" s="3">
        <v>924</v>
      </c>
      <c r="F924" s="3">
        <v>2</v>
      </c>
      <c r="G924" s="3">
        <v>1848</v>
      </c>
      <c r="H924" s="3">
        <v>27</v>
      </c>
      <c r="I924" t="s">
        <v>18</v>
      </c>
      <c r="J924" t="s">
        <v>19</v>
      </c>
      <c r="K924" t="s">
        <v>33</v>
      </c>
      <c r="L924" t="s">
        <v>34</v>
      </c>
      <c r="M924" s="2">
        <v>0.05</v>
      </c>
      <c r="N924" t="s">
        <v>29</v>
      </c>
      <c r="O924" t="str">
        <f t="shared" si="29"/>
        <v>February</v>
      </c>
      <c r="P924" t="str">
        <f t="shared" si="28"/>
        <v>Young Adult</v>
      </c>
    </row>
    <row r="925" spans="1:16" x14ac:dyDescent="0.25">
      <c r="A925">
        <v>1924</v>
      </c>
      <c r="B925" s="1">
        <v>45145</v>
      </c>
      <c r="C925" t="s">
        <v>30</v>
      </c>
      <c r="D925" t="s">
        <v>77</v>
      </c>
      <c r="E925" s="3">
        <v>799</v>
      </c>
      <c r="F925" s="3">
        <v>5</v>
      </c>
      <c r="G925" s="3">
        <v>3995</v>
      </c>
      <c r="H925" s="3">
        <v>57</v>
      </c>
      <c r="I925" t="s">
        <v>18</v>
      </c>
      <c r="J925" t="s">
        <v>60</v>
      </c>
      <c r="K925" t="s">
        <v>20</v>
      </c>
      <c r="L925" t="s">
        <v>47</v>
      </c>
      <c r="M925" s="2">
        <v>0.1</v>
      </c>
      <c r="N925" t="s">
        <v>29</v>
      </c>
      <c r="O925" t="str">
        <f t="shared" si="29"/>
        <v>August</v>
      </c>
      <c r="P925" t="str">
        <f t="shared" si="28"/>
        <v>Middle-Aged</v>
      </c>
    </row>
    <row r="926" spans="1:16" x14ac:dyDescent="0.25">
      <c r="A926">
        <v>1925</v>
      </c>
      <c r="B926" s="1">
        <v>44982</v>
      </c>
      <c r="C926" t="s">
        <v>52</v>
      </c>
      <c r="D926" t="s">
        <v>73</v>
      </c>
      <c r="E926" s="3">
        <v>1486</v>
      </c>
      <c r="F926" s="3">
        <v>5</v>
      </c>
      <c r="G926" s="3">
        <v>7430</v>
      </c>
      <c r="H926" s="3">
        <v>34</v>
      </c>
      <c r="I926" t="s">
        <v>18</v>
      </c>
      <c r="J926" t="s">
        <v>63</v>
      </c>
      <c r="K926" t="s">
        <v>45</v>
      </c>
      <c r="L926" t="s">
        <v>47</v>
      </c>
      <c r="M926" s="2">
        <v>0.05</v>
      </c>
      <c r="N926" t="s">
        <v>29</v>
      </c>
      <c r="O926" t="str">
        <f t="shared" si="29"/>
        <v>February</v>
      </c>
      <c r="P926" t="str">
        <f t="shared" si="28"/>
        <v>Adult</v>
      </c>
    </row>
    <row r="927" spans="1:16" x14ac:dyDescent="0.25">
      <c r="A927">
        <v>1926</v>
      </c>
      <c r="B927" s="1">
        <v>45163</v>
      </c>
      <c r="C927" t="s">
        <v>35</v>
      </c>
      <c r="D927" t="s">
        <v>74</v>
      </c>
      <c r="E927" s="3">
        <v>1208</v>
      </c>
      <c r="F927" s="3">
        <v>4</v>
      </c>
      <c r="G927" s="3">
        <v>4832</v>
      </c>
      <c r="H927" s="3">
        <v>33</v>
      </c>
      <c r="I927" t="s">
        <v>18</v>
      </c>
      <c r="J927" t="s">
        <v>60</v>
      </c>
      <c r="K927" t="s">
        <v>37</v>
      </c>
      <c r="L927" t="s">
        <v>47</v>
      </c>
      <c r="M927" s="2">
        <v>0.2</v>
      </c>
      <c r="N927" t="s">
        <v>29</v>
      </c>
      <c r="O927" t="str">
        <f t="shared" si="29"/>
        <v>August</v>
      </c>
      <c r="P927" t="str">
        <f t="shared" si="28"/>
        <v>Adult</v>
      </c>
    </row>
    <row r="928" spans="1:16" x14ac:dyDescent="0.25">
      <c r="A928">
        <v>1927</v>
      </c>
      <c r="B928" s="1">
        <v>45309</v>
      </c>
      <c r="C928" t="s">
        <v>24</v>
      </c>
      <c r="D928" t="s">
        <v>80</v>
      </c>
      <c r="E928" s="3">
        <v>60</v>
      </c>
      <c r="F928" s="3">
        <v>2</v>
      </c>
      <c r="G928" s="3">
        <v>120</v>
      </c>
      <c r="H928" s="3">
        <v>36</v>
      </c>
      <c r="I928" t="s">
        <v>32</v>
      </c>
      <c r="J928" t="s">
        <v>51</v>
      </c>
      <c r="K928" t="s">
        <v>27</v>
      </c>
      <c r="L928" t="s">
        <v>38</v>
      </c>
      <c r="M928" s="2">
        <v>0.2</v>
      </c>
      <c r="N928" t="s">
        <v>29</v>
      </c>
      <c r="O928" t="str">
        <f t="shared" si="29"/>
        <v>January</v>
      </c>
      <c r="P928" t="str">
        <f t="shared" si="28"/>
        <v>Adult</v>
      </c>
    </row>
    <row r="929" spans="1:16" x14ac:dyDescent="0.25">
      <c r="A929">
        <v>1928</v>
      </c>
      <c r="B929" s="1">
        <v>45097</v>
      </c>
      <c r="C929" t="s">
        <v>49</v>
      </c>
      <c r="D929" t="s">
        <v>64</v>
      </c>
      <c r="E929" s="3">
        <v>1291</v>
      </c>
      <c r="F929" s="3">
        <v>1</v>
      </c>
      <c r="G929" s="3">
        <v>1291</v>
      </c>
      <c r="H929" s="3">
        <v>46</v>
      </c>
      <c r="I929" t="s">
        <v>18</v>
      </c>
      <c r="J929" t="s">
        <v>26</v>
      </c>
      <c r="K929" t="s">
        <v>37</v>
      </c>
      <c r="L929" t="s">
        <v>28</v>
      </c>
      <c r="M929" s="2">
        <v>0.25</v>
      </c>
      <c r="N929" t="s">
        <v>29</v>
      </c>
      <c r="O929" t="str">
        <f t="shared" si="29"/>
        <v>June</v>
      </c>
      <c r="P929" t="str">
        <f t="shared" si="28"/>
        <v>Adult</v>
      </c>
    </row>
    <row r="930" spans="1:16" x14ac:dyDescent="0.25">
      <c r="A930">
        <v>1929</v>
      </c>
      <c r="B930" s="1">
        <v>45189</v>
      </c>
      <c r="C930" t="s">
        <v>16</v>
      </c>
      <c r="D930" t="s">
        <v>59</v>
      </c>
      <c r="E930" s="3">
        <v>1121</v>
      </c>
      <c r="F930" s="3">
        <v>1</v>
      </c>
      <c r="G930" s="3">
        <v>1121</v>
      </c>
      <c r="H930" s="3">
        <v>30</v>
      </c>
      <c r="I930" t="s">
        <v>18</v>
      </c>
      <c r="J930" t="s">
        <v>60</v>
      </c>
      <c r="K930" t="s">
        <v>20</v>
      </c>
      <c r="L930" t="s">
        <v>34</v>
      </c>
      <c r="M930" s="2">
        <v>0.25</v>
      </c>
      <c r="N930" t="s">
        <v>22</v>
      </c>
      <c r="O930" t="str">
        <f t="shared" si="29"/>
        <v>September</v>
      </c>
      <c r="P930" t="str">
        <f t="shared" si="28"/>
        <v>Adult</v>
      </c>
    </row>
    <row r="931" spans="1:16" x14ac:dyDescent="0.25">
      <c r="A931">
        <v>1930</v>
      </c>
      <c r="B931" s="1">
        <v>45061</v>
      </c>
      <c r="C931" t="s">
        <v>49</v>
      </c>
      <c r="D931" t="s">
        <v>64</v>
      </c>
      <c r="E931" s="3">
        <v>1135</v>
      </c>
      <c r="F931" s="3">
        <v>2</v>
      </c>
      <c r="G931" s="3">
        <v>2270</v>
      </c>
      <c r="H931" s="3">
        <v>60</v>
      </c>
      <c r="I931" t="s">
        <v>18</v>
      </c>
      <c r="J931" t="s">
        <v>55</v>
      </c>
      <c r="K931" t="s">
        <v>20</v>
      </c>
      <c r="L931" t="s">
        <v>34</v>
      </c>
      <c r="M931" s="2">
        <v>0.25</v>
      </c>
      <c r="N931" t="s">
        <v>29</v>
      </c>
      <c r="O931" t="str">
        <f t="shared" si="29"/>
        <v>May</v>
      </c>
      <c r="P931" t="str">
        <f t="shared" si="28"/>
        <v>Middle-Aged</v>
      </c>
    </row>
    <row r="932" spans="1:16" x14ac:dyDescent="0.25">
      <c r="A932">
        <v>1931</v>
      </c>
      <c r="B932" s="1">
        <v>45029</v>
      </c>
      <c r="C932" t="s">
        <v>52</v>
      </c>
      <c r="D932" t="s">
        <v>67</v>
      </c>
      <c r="E932" s="3">
        <v>23</v>
      </c>
      <c r="F932" s="3">
        <v>3</v>
      </c>
      <c r="G932" s="3">
        <v>69</v>
      </c>
      <c r="H932" s="3">
        <v>38</v>
      </c>
      <c r="I932" t="s">
        <v>18</v>
      </c>
      <c r="J932" t="s">
        <v>55</v>
      </c>
      <c r="K932" t="s">
        <v>45</v>
      </c>
      <c r="L932" t="s">
        <v>21</v>
      </c>
      <c r="M932" s="2">
        <v>0.1</v>
      </c>
      <c r="N932" t="s">
        <v>22</v>
      </c>
      <c r="O932" t="str">
        <f t="shared" si="29"/>
        <v>April</v>
      </c>
      <c r="P932" t="str">
        <f t="shared" si="28"/>
        <v>Adult</v>
      </c>
    </row>
    <row r="933" spans="1:16" x14ac:dyDescent="0.25">
      <c r="A933">
        <v>1932</v>
      </c>
      <c r="B933" s="1">
        <v>45194</v>
      </c>
      <c r="C933" t="s">
        <v>49</v>
      </c>
      <c r="D933" t="s">
        <v>64</v>
      </c>
      <c r="E933" s="3">
        <v>733</v>
      </c>
      <c r="F933" s="3">
        <v>4</v>
      </c>
      <c r="G933" s="3">
        <v>2932</v>
      </c>
      <c r="H933" s="3">
        <v>50</v>
      </c>
      <c r="I933" t="s">
        <v>18</v>
      </c>
      <c r="J933" t="s">
        <v>60</v>
      </c>
      <c r="K933" t="s">
        <v>37</v>
      </c>
      <c r="L933" t="s">
        <v>47</v>
      </c>
      <c r="M933" s="2">
        <v>0.3</v>
      </c>
      <c r="N933" t="s">
        <v>22</v>
      </c>
      <c r="O933" t="str">
        <f t="shared" si="29"/>
        <v>September</v>
      </c>
      <c r="P933" t="str">
        <f t="shared" si="28"/>
        <v>Middle-Aged</v>
      </c>
    </row>
    <row r="934" spans="1:16" x14ac:dyDescent="0.25">
      <c r="A934">
        <v>1933</v>
      </c>
      <c r="B934" s="1">
        <v>45314</v>
      </c>
      <c r="C934" t="s">
        <v>30</v>
      </c>
      <c r="D934" t="s">
        <v>79</v>
      </c>
      <c r="E934" s="3">
        <v>1212</v>
      </c>
      <c r="F934" s="3">
        <v>5</v>
      </c>
      <c r="G934" s="3">
        <v>6060</v>
      </c>
      <c r="H934" s="3">
        <v>41</v>
      </c>
      <c r="I934" t="s">
        <v>18</v>
      </c>
      <c r="J934" t="s">
        <v>26</v>
      </c>
      <c r="K934" t="s">
        <v>37</v>
      </c>
      <c r="L934" t="s">
        <v>34</v>
      </c>
      <c r="M934" s="2">
        <v>0.25</v>
      </c>
      <c r="N934" t="s">
        <v>29</v>
      </c>
      <c r="O934" t="str">
        <f t="shared" si="29"/>
        <v>January</v>
      </c>
      <c r="P934" t="str">
        <f t="shared" si="28"/>
        <v>Adult</v>
      </c>
    </row>
    <row r="935" spans="1:16" x14ac:dyDescent="0.25">
      <c r="A935">
        <v>1934</v>
      </c>
      <c r="B935" s="1">
        <v>45191</v>
      </c>
      <c r="C935" t="s">
        <v>35</v>
      </c>
      <c r="D935" t="s">
        <v>36</v>
      </c>
      <c r="E935" s="3">
        <v>972</v>
      </c>
      <c r="F935" s="3">
        <v>3</v>
      </c>
      <c r="G935" s="3">
        <v>2916</v>
      </c>
      <c r="H935" s="3">
        <v>21</v>
      </c>
      <c r="I935" t="s">
        <v>32</v>
      </c>
      <c r="J935" t="s">
        <v>48</v>
      </c>
      <c r="K935" t="s">
        <v>20</v>
      </c>
      <c r="L935" t="s">
        <v>47</v>
      </c>
      <c r="M935" s="2">
        <v>0.3</v>
      </c>
      <c r="N935" t="s">
        <v>29</v>
      </c>
      <c r="O935" t="str">
        <f t="shared" si="29"/>
        <v>September</v>
      </c>
      <c r="P935" t="str">
        <f t="shared" si="28"/>
        <v>Young Adult</v>
      </c>
    </row>
    <row r="936" spans="1:16" x14ac:dyDescent="0.25">
      <c r="A936">
        <v>1935</v>
      </c>
      <c r="B936" s="1">
        <v>45159</v>
      </c>
      <c r="C936" t="s">
        <v>16</v>
      </c>
      <c r="D936" t="s">
        <v>83</v>
      </c>
      <c r="E936" s="3">
        <v>1169</v>
      </c>
      <c r="F936" s="3">
        <v>2</v>
      </c>
      <c r="G936" s="3">
        <v>2338</v>
      </c>
      <c r="H936" s="3">
        <v>58</v>
      </c>
      <c r="I936" t="s">
        <v>32</v>
      </c>
      <c r="J936" t="s">
        <v>41</v>
      </c>
      <c r="K936" t="s">
        <v>45</v>
      </c>
      <c r="L936" t="s">
        <v>28</v>
      </c>
      <c r="M936" s="2">
        <v>0.2</v>
      </c>
      <c r="N936" t="s">
        <v>22</v>
      </c>
      <c r="O936" t="str">
        <f t="shared" si="29"/>
        <v>August</v>
      </c>
      <c r="P936" t="str">
        <f t="shared" si="28"/>
        <v>Middle-Aged</v>
      </c>
    </row>
    <row r="937" spans="1:16" x14ac:dyDescent="0.25">
      <c r="A937">
        <v>1936</v>
      </c>
      <c r="B937" s="1">
        <v>45056</v>
      </c>
      <c r="C937" t="s">
        <v>30</v>
      </c>
      <c r="D937" t="s">
        <v>79</v>
      </c>
      <c r="E937" s="3">
        <v>241</v>
      </c>
      <c r="F937" s="3">
        <v>4</v>
      </c>
      <c r="G937" s="3">
        <v>964</v>
      </c>
      <c r="H937" s="3">
        <v>21</v>
      </c>
      <c r="I937" t="s">
        <v>18</v>
      </c>
      <c r="J937" t="s">
        <v>19</v>
      </c>
      <c r="K937" t="s">
        <v>20</v>
      </c>
      <c r="L937" t="s">
        <v>34</v>
      </c>
      <c r="M937" s="2">
        <v>0.15</v>
      </c>
      <c r="N937" t="s">
        <v>29</v>
      </c>
      <c r="O937" t="str">
        <f t="shared" si="29"/>
        <v>May</v>
      </c>
      <c r="P937" t="str">
        <f t="shared" si="28"/>
        <v>Young Adult</v>
      </c>
    </row>
    <row r="938" spans="1:16" x14ac:dyDescent="0.25">
      <c r="A938">
        <v>1937</v>
      </c>
      <c r="B938" s="1">
        <v>44929</v>
      </c>
      <c r="C938" t="s">
        <v>39</v>
      </c>
      <c r="D938" t="s">
        <v>78</v>
      </c>
      <c r="E938" s="3">
        <v>259</v>
      </c>
      <c r="F938" s="3">
        <v>2</v>
      </c>
      <c r="G938" s="3">
        <v>518</v>
      </c>
      <c r="H938" s="3">
        <v>55</v>
      </c>
      <c r="I938" t="s">
        <v>18</v>
      </c>
      <c r="J938" t="s">
        <v>58</v>
      </c>
      <c r="K938" t="s">
        <v>20</v>
      </c>
      <c r="L938" t="s">
        <v>21</v>
      </c>
      <c r="M938" s="2">
        <v>0.25</v>
      </c>
      <c r="N938" t="s">
        <v>22</v>
      </c>
      <c r="O938" t="str">
        <f t="shared" si="29"/>
        <v>January</v>
      </c>
      <c r="P938" t="str">
        <f t="shared" si="28"/>
        <v>Middle-Aged</v>
      </c>
    </row>
    <row r="939" spans="1:16" x14ac:dyDescent="0.25">
      <c r="A939">
        <v>1938</v>
      </c>
      <c r="B939" s="1">
        <v>45163</v>
      </c>
      <c r="C939" t="s">
        <v>16</v>
      </c>
      <c r="D939" t="s">
        <v>59</v>
      </c>
      <c r="E939" s="3">
        <v>364</v>
      </c>
      <c r="F939" s="3">
        <v>4</v>
      </c>
      <c r="G939" s="3">
        <v>1456</v>
      </c>
      <c r="H939" s="3">
        <v>49</v>
      </c>
      <c r="I939" t="s">
        <v>18</v>
      </c>
      <c r="J939" t="s">
        <v>19</v>
      </c>
      <c r="K939" t="s">
        <v>27</v>
      </c>
      <c r="L939" t="s">
        <v>34</v>
      </c>
      <c r="M939" s="2">
        <v>0.05</v>
      </c>
      <c r="N939" t="s">
        <v>29</v>
      </c>
      <c r="O939" t="str">
        <f t="shared" si="29"/>
        <v>August</v>
      </c>
      <c r="P939" t="str">
        <f t="shared" si="28"/>
        <v>Adult</v>
      </c>
    </row>
    <row r="940" spans="1:16" x14ac:dyDescent="0.25">
      <c r="A940">
        <v>1939</v>
      </c>
      <c r="B940" s="1">
        <v>45001</v>
      </c>
      <c r="C940" t="s">
        <v>52</v>
      </c>
      <c r="D940" t="s">
        <v>65</v>
      </c>
      <c r="E940" s="3">
        <v>345</v>
      </c>
      <c r="F940" s="3">
        <v>4</v>
      </c>
      <c r="G940" s="3">
        <v>1380</v>
      </c>
      <c r="H940" s="3">
        <v>26</v>
      </c>
      <c r="I940" t="s">
        <v>18</v>
      </c>
      <c r="J940" t="s">
        <v>51</v>
      </c>
      <c r="K940" t="s">
        <v>37</v>
      </c>
      <c r="L940" t="s">
        <v>28</v>
      </c>
      <c r="M940" s="2">
        <v>0.3</v>
      </c>
      <c r="N940" t="s">
        <v>29</v>
      </c>
      <c r="O940" t="str">
        <f t="shared" si="29"/>
        <v>March</v>
      </c>
      <c r="P940" t="str">
        <f t="shared" si="28"/>
        <v>Young Adult</v>
      </c>
    </row>
    <row r="941" spans="1:16" x14ac:dyDescent="0.25">
      <c r="A941">
        <v>1940</v>
      </c>
      <c r="B941" s="1">
        <v>44958</v>
      </c>
      <c r="C941" t="s">
        <v>39</v>
      </c>
      <c r="D941" t="s">
        <v>61</v>
      </c>
      <c r="E941" s="3">
        <v>554</v>
      </c>
      <c r="F941" s="3">
        <v>2</v>
      </c>
      <c r="G941" s="3">
        <v>1108</v>
      </c>
      <c r="H941" s="3">
        <v>49</v>
      </c>
      <c r="I941" t="s">
        <v>18</v>
      </c>
      <c r="J941" t="s">
        <v>60</v>
      </c>
      <c r="K941" t="s">
        <v>20</v>
      </c>
      <c r="L941" t="s">
        <v>47</v>
      </c>
      <c r="M941" s="2">
        <v>0.3</v>
      </c>
      <c r="N941" t="s">
        <v>22</v>
      </c>
      <c r="O941" t="str">
        <f t="shared" si="29"/>
        <v>February</v>
      </c>
      <c r="P941" t="str">
        <f t="shared" si="28"/>
        <v>Adult</v>
      </c>
    </row>
    <row r="942" spans="1:16" x14ac:dyDescent="0.25">
      <c r="A942">
        <v>1941</v>
      </c>
      <c r="B942" s="1">
        <v>45177</v>
      </c>
      <c r="C942" t="s">
        <v>39</v>
      </c>
      <c r="D942" t="s">
        <v>61</v>
      </c>
      <c r="E942" s="3">
        <v>1252</v>
      </c>
      <c r="F942" s="3">
        <v>1</v>
      </c>
      <c r="G942" s="3">
        <v>1252</v>
      </c>
      <c r="H942" s="3">
        <v>50</v>
      </c>
      <c r="I942" t="s">
        <v>32</v>
      </c>
      <c r="J942" t="s">
        <v>19</v>
      </c>
      <c r="K942" t="s">
        <v>27</v>
      </c>
      <c r="L942" t="s">
        <v>28</v>
      </c>
      <c r="M942" s="2">
        <v>0.1</v>
      </c>
      <c r="N942" t="s">
        <v>22</v>
      </c>
      <c r="O942" t="str">
        <f t="shared" si="29"/>
        <v>September</v>
      </c>
      <c r="P942" t="str">
        <f t="shared" si="28"/>
        <v>Middle-Aged</v>
      </c>
    </row>
    <row r="943" spans="1:16" x14ac:dyDescent="0.25">
      <c r="A943">
        <v>1942</v>
      </c>
      <c r="B943" s="1">
        <v>45145</v>
      </c>
      <c r="C943" t="s">
        <v>39</v>
      </c>
      <c r="D943" t="s">
        <v>78</v>
      </c>
      <c r="E943" s="3">
        <v>649</v>
      </c>
      <c r="F943" s="3">
        <v>2</v>
      </c>
      <c r="G943" s="3">
        <v>1298</v>
      </c>
      <c r="H943" s="3">
        <v>24</v>
      </c>
      <c r="I943" t="s">
        <v>18</v>
      </c>
      <c r="J943" t="s">
        <v>60</v>
      </c>
      <c r="K943" t="s">
        <v>20</v>
      </c>
      <c r="L943" t="s">
        <v>34</v>
      </c>
      <c r="M943" s="2">
        <v>0.25</v>
      </c>
      <c r="N943" t="s">
        <v>29</v>
      </c>
      <c r="O943" t="str">
        <f t="shared" si="29"/>
        <v>August</v>
      </c>
      <c r="P943" t="str">
        <f t="shared" si="28"/>
        <v>Young Adult</v>
      </c>
    </row>
    <row r="944" spans="1:16" x14ac:dyDescent="0.25">
      <c r="A944">
        <v>1943</v>
      </c>
      <c r="B944" s="1">
        <v>45028</v>
      </c>
      <c r="C944" t="s">
        <v>16</v>
      </c>
      <c r="D944" t="s">
        <v>71</v>
      </c>
      <c r="E944" s="3">
        <v>1479</v>
      </c>
      <c r="F944" s="3">
        <v>5</v>
      </c>
      <c r="G944" s="3">
        <v>7395</v>
      </c>
      <c r="H944" s="3">
        <v>39</v>
      </c>
      <c r="I944" t="s">
        <v>32</v>
      </c>
      <c r="J944" t="s">
        <v>26</v>
      </c>
      <c r="K944" t="s">
        <v>27</v>
      </c>
      <c r="L944" t="s">
        <v>47</v>
      </c>
      <c r="M944" s="2">
        <v>0.3</v>
      </c>
      <c r="N944" t="s">
        <v>22</v>
      </c>
      <c r="O944" t="str">
        <f t="shared" si="29"/>
        <v>April</v>
      </c>
      <c r="P944" t="str">
        <f t="shared" si="28"/>
        <v>Adult</v>
      </c>
    </row>
    <row r="945" spans="1:16" x14ac:dyDescent="0.25">
      <c r="A945">
        <v>1944</v>
      </c>
      <c r="B945" s="1">
        <v>45326</v>
      </c>
      <c r="C945" t="s">
        <v>30</v>
      </c>
      <c r="D945" t="s">
        <v>44</v>
      </c>
      <c r="E945" s="3">
        <v>796</v>
      </c>
      <c r="F945" s="3">
        <v>2</v>
      </c>
      <c r="G945" s="3">
        <v>1592</v>
      </c>
      <c r="H945" s="3">
        <v>52</v>
      </c>
      <c r="I945" t="s">
        <v>32</v>
      </c>
      <c r="J945" t="s">
        <v>19</v>
      </c>
      <c r="K945" t="s">
        <v>20</v>
      </c>
      <c r="L945" t="s">
        <v>47</v>
      </c>
      <c r="M945" s="2">
        <v>0.05</v>
      </c>
      <c r="N945" t="s">
        <v>22</v>
      </c>
      <c r="O945" t="str">
        <f t="shared" si="29"/>
        <v>February</v>
      </c>
      <c r="P945" t="str">
        <f t="shared" si="28"/>
        <v>Middle-Aged</v>
      </c>
    </row>
    <row r="946" spans="1:16" x14ac:dyDescent="0.25">
      <c r="A946">
        <v>1945</v>
      </c>
      <c r="B946" s="1">
        <v>45035</v>
      </c>
      <c r="C946" t="s">
        <v>24</v>
      </c>
      <c r="D946" t="s">
        <v>76</v>
      </c>
      <c r="E946" s="3">
        <v>453</v>
      </c>
      <c r="F946" s="3">
        <v>1</v>
      </c>
      <c r="G946" s="3">
        <v>453</v>
      </c>
      <c r="H946" s="3">
        <v>54</v>
      </c>
      <c r="I946" t="s">
        <v>18</v>
      </c>
      <c r="J946" t="s">
        <v>63</v>
      </c>
      <c r="K946" t="s">
        <v>33</v>
      </c>
      <c r="L946" t="s">
        <v>28</v>
      </c>
      <c r="M946" s="2">
        <v>0.3</v>
      </c>
      <c r="N946" t="s">
        <v>22</v>
      </c>
      <c r="O946" t="str">
        <f t="shared" si="29"/>
        <v>April</v>
      </c>
      <c r="P946" t="str">
        <f t="shared" si="28"/>
        <v>Middle-Aged</v>
      </c>
    </row>
    <row r="947" spans="1:16" x14ac:dyDescent="0.25">
      <c r="A947">
        <v>1946</v>
      </c>
      <c r="B947" s="1">
        <v>45300</v>
      </c>
      <c r="C947" t="s">
        <v>16</v>
      </c>
      <c r="D947" t="s">
        <v>71</v>
      </c>
      <c r="E947" s="3">
        <v>887</v>
      </c>
      <c r="F947" s="3">
        <v>5</v>
      </c>
      <c r="G947" s="3">
        <v>4435</v>
      </c>
      <c r="H947" s="3">
        <v>42</v>
      </c>
      <c r="I947" t="s">
        <v>18</v>
      </c>
      <c r="J947" t="s">
        <v>58</v>
      </c>
      <c r="K947" t="s">
        <v>27</v>
      </c>
      <c r="L947" t="s">
        <v>38</v>
      </c>
      <c r="M947" s="2">
        <v>0.1</v>
      </c>
      <c r="N947" t="s">
        <v>22</v>
      </c>
      <c r="O947" t="str">
        <f t="shared" si="29"/>
        <v>January</v>
      </c>
      <c r="P947" t="str">
        <f t="shared" si="28"/>
        <v>Adult</v>
      </c>
    </row>
    <row r="948" spans="1:16" x14ac:dyDescent="0.25">
      <c r="A948">
        <v>1947</v>
      </c>
      <c r="B948" s="1">
        <v>45291</v>
      </c>
      <c r="C948" t="s">
        <v>39</v>
      </c>
      <c r="D948" t="s">
        <v>46</v>
      </c>
      <c r="E948" s="3">
        <v>309</v>
      </c>
      <c r="F948" s="3">
        <v>3</v>
      </c>
      <c r="G948" s="3">
        <v>927</v>
      </c>
      <c r="H948" s="3">
        <v>39</v>
      </c>
      <c r="I948" t="s">
        <v>18</v>
      </c>
      <c r="J948" t="s">
        <v>51</v>
      </c>
      <c r="K948" t="s">
        <v>27</v>
      </c>
      <c r="L948" t="s">
        <v>47</v>
      </c>
      <c r="M948" s="2">
        <v>0.3</v>
      </c>
      <c r="N948" t="s">
        <v>22</v>
      </c>
      <c r="O948" t="str">
        <f t="shared" si="29"/>
        <v>December</v>
      </c>
      <c r="P948" t="str">
        <f t="shared" si="28"/>
        <v>Adult</v>
      </c>
    </row>
    <row r="949" spans="1:16" x14ac:dyDescent="0.25">
      <c r="A949">
        <v>1948</v>
      </c>
      <c r="B949" s="1">
        <v>45290</v>
      </c>
      <c r="C949" t="s">
        <v>52</v>
      </c>
      <c r="D949" t="s">
        <v>65</v>
      </c>
      <c r="E949" s="3">
        <v>940</v>
      </c>
      <c r="F949" s="3">
        <v>3</v>
      </c>
      <c r="G949" s="3">
        <v>2820</v>
      </c>
      <c r="H949" s="3">
        <v>24</v>
      </c>
      <c r="I949" t="s">
        <v>18</v>
      </c>
      <c r="J949" t="s">
        <v>58</v>
      </c>
      <c r="K949" t="s">
        <v>37</v>
      </c>
      <c r="L949" t="s">
        <v>34</v>
      </c>
      <c r="M949" s="2">
        <v>0.25</v>
      </c>
      <c r="N949" t="s">
        <v>29</v>
      </c>
      <c r="O949" t="str">
        <f t="shared" si="29"/>
        <v>December</v>
      </c>
      <c r="P949" t="str">
        <f t="shared" si="28"/>
        <v>Young Adult</v>
      </c>
    </row>
    <row r="950" spans="1:16" x14ac:dyDescent="0.25">
      <c r="A950">
        <v>1949</v>
      </c>
      <c r="B950" s="1">
        <v>45232</v>
      </c>
      <c r="C950" t="s">
        <v>52</v>
      </c>
      <c r="D950" t="s">
        <v>67</v>
      </c>
      <c r="E950" s="3">
        <v>1108</v>
      </c>
      <c r="F950" s="3">
        <v>1</v>
      </c>
      <c r="G950" s="3">
        <v>1108</v>
      </c>
      <c r="H950" s="3">
        <v>19</v>
      </c>
      <c r="I950" t="s">
        <v>32</v>
      </c>
      <c r="J950" t="s">
        <v>60</v>
      </c>
      <c r="K950" t="s">
        <v>42</v>
      </c>
      <c r="L950" t="s">
        <v>34</v>
      </c>
      <c r="M950" s="2">
        <v>0.1</v>
      </c>
      <c r="N950" t="s">
        <v>29</v>
      </c>
      <c r="O950" t="str">
        <f t="shared" si="29"/>
        <v>November</v>
      </c>
      <c r="P950" t="str">
        <f t="shared" si="28"/>
        <v>Young Adult</v>
      </c>
    </row>
    <row r="951" spans="1:16" x14ac:dyDescent="0.25">
      <c r="A951">
        <v>1950</v>
      </c>
      <c r="B951" s="1">
        <v>45163</v>
      </c>
      <c r="C951" t="s">
        <v>49</v>
      </c>
      <c r="D951" t="s">
        <v>64</v>
      </c>
      <c r="E951" s="3">
        <v>989</v>
      </c>
      <c r="F951" s="3">
        <v>1</v>
      </c>
      <c r="G951" s="3">
        <v>989</v>
      </c>
      <c r="H951" s="3">
        <v>45</v>
      </c>
      <c r="I951" t="s">
        <v>18</v>
      </c>
      <c r="J951" t="s">
        <v>55</v>
      </c>
      <c r="K951" t="s">
        <v>42</v>
      </c>
      <c r="L951" t="s">
        <v>38</v>
      </c>
      <c r="M951" s="2">
        <v>0.2</v>
      </c>
      <c r="N951" t="s">
        <v>22</v>
      </c>
      <c r="O951" t="str">
        <f t="shared" si="29"/>
        <v>August</v>
      </c>
      <c r="P951" t="str">
        <f t="shared" si="28"/>
        <v>Adult</v>
      </c>
    </row>
    <row r="952" spans="1:16" x14ac:dyDescent="0.25">
      <c r="A952">
        <v>1951</v>
      </c>
      <c r="B952" s="1">
        <v>44946</v>
      </c>
      <c r="C952" t="s">
        <v>24</v>
      </c>
      <c r="D952" t="s">
        <v>25</v>
      </c>
      <c r="E952" s="3">
        <v>1303</v>
      </c>
      <c r="F952" s="3">
        <v>5</v>
      </c>
      <c r="G952" s="3">
        <v>6515</v>
      </c>
      <c r="H952" s="3">
        <v>32</v>
      </c>
      <c r="I952" t="s">
        <v>32</v>
      </c>
      <c r="J952" t="s">
        <v>51</v>
      </c>
      <c r="K952" t="s">
        <v>20</v>
      </c>
      <c r="L952" t="s">
        <v>38</v>
      </c>
      <c r="M952" s="2">
        <v>0.2</v>
      </c>
      <c r="N952" t="s">
        <v>29</v>
      </c>
      <c r="O952" t="str">
        <f t="shared" si="29"/>
        <v>January</v>
      </c>
      <c r="P952" t="str">
        <f t="shared" si="28"/>
        <v>Adult</v>
      </c>
    </row>
    <row r="953" spans="1:16" x14ac:dyDescent="0.25">
      <c r="A953">
        <v>1952</v>
      </c>
      <c r="B953" s="1">
        <v>45102</v>
      </c>
      <c r="C953" t="s">
        <v>52</v>
      </c>
      <c r="D953" t="s">
        <v>53</v>
      </c>
      <c r="E953" s="3">
        <v>708</v>
      </c>
      <c r="F953" s="3">
        <v>3</v>
      </c>
      <c r="G953" s="3">
        <v>2124</v>
      </c>
      <c r="H953" s="3">
        <v>46</v>
      </c>
      <c r="I953" t="s">
        <v>18</v>
      </c>
      <c r="J953" t="s">
        <v>41</v>
      </c>
      <c r="K953" t="s">
        <v>33</v>
      </c>
      <c r="L953" t="s">
        <v>21</v>
      </c>
      <c r="M953" s="2">
        <v>0.05</v>
      </c>
      <c r="N953" t="s">
        <v>29</v>
      </c>
      <c r="O953" t="str">
        <f t="shared" si="29"/>
        <v>June</v>
      </c>
      <c r="P953" t="str">
        <f t="shared" si="28"/>
        <v>Adult</v>
      </c>
    </row>
    <row r="954" spans="1:16" x14ac:dyDescent="0.25">
      <c r="A954">
        <v>1953</v>
      </c>
      <c r="B954" s="1">
        <v>45152</v>
      </c>
      <c r="C954" t="s">
        <v>49</v>
      </c>
      <c r="D954" t="s">
        <v>64</v>
      </c>
      <c r="E954" s="3">
        <v>138</v>
      </c>
      <c r="F954" s="3">
        <v>2</v>
      </c>
      <c r="G954" s="3">
        <v>276</v>
      </c>
      <c r="H954" s="3">
        <v>26</v>
      </c>
      <c r="I954" t="s">
        <v>18</v>
      </c>
      <c r="J954" t="s">
        <v>19</v>
      </c>
      <c r="K954" t="s">
        <v>33</v>
      </c>
      <c r="L954" t="s">
        <v>38</v>
      </c>
      <c r="M954" s="2">
        <v>0.1</v>
      </c>
      <c r="N954" t="s">
        <v>29</v>
      </c>
      <c r="O954" t="str">
        <f t="shared" si="29"/>
        <v>August</v>
      </c>
      <c r="P954" t="str">
        <f t="shared" si="28"/>
        <v>Young Adult</v>
      </c>
    </row>
    <row r="955" spans="1:16" x14ac:dyDescent="0.25">
      <c r="A955">
        <v>1954</v>
      </c>
      <c r="B955" s="1">
        <v>45141</v>
      </c>
      <c r="C955" t="s">
        <v>52</v>
      </c>
      <c r="D955" t="s">
        <v>82</v>
      </c>
      <c r="E955" s="3">
        <v>1360</v>
      </c>
      <c r="F955" s="3">
        <v>5</v>
      </c>
      <c r="G955" s="3">
        <v>6800</v>
      </c>
      <c r="H955" s="3">
        <v>20</v>
      </c>
      <c r="I955" t="s">
        <v>32</v>
      </c>
      <c r="J955" t="s">
        <v>19</v>
      </c>
      <c r="K955" t="s">
        <v>20</v>
      </c>
      <c r="L955" t="s">
        <v>38</v>
      </c>
      <c r="M955" s="2">
        <v>0.3</v>
      </c>
      <c r="N955" t="s">
        <v>22</v>
      </c>
      <c r="O955" t="str">
        <f t="shared" si="29"/>
        <v>August</v>
      </c>
      <c r="P955" t="str">
        <f t="shared" si="28"/>
        <v>Young Adult</v>
      </c>
    </row>
    <row r="956" spans="1:16" x14ac:dyDescent="0.25">
      <c r="A956">
        <v>1955</v>
      </c>
      <c r="B956" s="1">
        <v>45192</v>
      </c>
      <c r="C956" t="s">
        <v>49</v>
      </c>
      <c r="D956" t="s">
        <v>64</v>
      </c>
      <c r="E956" s="3">
        <v>920</v>
      </c>
      <c r="F956" s="3">
        <v>4</v>
      </c>
      <c r="G956" s="3">
        <v>3680</v>
      </c>
      <c r="H956" s="3">
        <v>28</v>
      </c>
      <c r="I956" t="s">
        <v>18</v>
      </c>
      <c r="J956" t="s">
        <v>43</v>
      </c>
      <c r="K956" t="s">
        <v>33</v>
      </c>
      <c r="L956" t="s">
        <v>47</v>
      </c>
      <c r="M956" s="2">
        <v>0.05</v>
      </c>
      <c r="N956" t="s">
        <v>22</v>
      </c>
      <c r="O956" t="str">
        <f t="shared" si="29"/>
        <v>September</v>
      </c>
      <c r="P956" t="str">
        <f t="shared" si="28"/>
        <v>Young Adult</v>
      </c>
    </row>
    <row r="957" spans="1:16" x14ac:dyDescent="0.25">
      <c r="A957">
        <v>1956</v>
      </c>
      <c r="B957" s="1">
        <v>45267</v>
      </c>
      <c r="C957" t="s">
        <v>30</v>
      </c>
      <c r="D957" t="s">
        <v>31</v>
      </c>
      <c r="E957" s="3">
        <v>946</v>
      </c>
      <c r="F957" s="3">
        <v>3</v>
      </c>
      <c r="G957" s="3">
        <v>2838</v>
      </c>
      <c r="H957" s="3">
        <v>24</v>
      </c>
      <c r="I957" t="s">
        <v>18</v>
      </c>
      <c r="J957" t="s">
        <v>26</v>
      </c>
      <c r="K957" t="s">
        <v>37</v>
      </c>
      <c r="L957" t="s">
        <v>28</v>
      </c>
      <c r="M957" s="2">
        <v>0.25</v>
      </c>
      <c r="N957" t="s">
        <v>22</v>
      </c>
      <c r="O957" t="str">
        <f t="shared" si="29"/>
        <v>December</v>
      </c>
      <c r="P957" t="str">
        <f t="shared" si="28"/>
        <v>Young Adult</v>
      </c>
    </row>
    <row r="958" spans="1:16" x14ac:dyDescent="0.25">
      <c r="A958">
        <v>1957</v>
      </c>
      <c r="B958" s="1">
        <v>45286</v>
      </c>
      <c r="C958" t="s">
        <v>52</v>
      </c>
      <c r="D958" t="s">
        <v>67</v>
      </c>
      <c r="E958" s="3">
        <v>1268</v>
      </c>
      <c r="F958" s="3">
        <v>2</v>
      </c>
      <c r="G958" s="3">
        <v>2536</v>
      </c>
      <c r="H958" s="3">
        <v>60</v>
      </c>
      <c r="I958" t="s">
        <v>18</v>
      </c>
      <c r="J958" t="s">
        <v>48</v>
      </c>
      <c r="K958" t="s">
        <v>45</v>
      </c>
      <c r="L958" t="s">
        <v>38</v>
      </c>
      <c r="M958" s="2">
        <v>0.05</v>
      </c>
      <c r="N958" t="s">
        <v>22</v>
      </c>
      <c r="O958" t="str">
        <f t="shared" si="29"/>
        <v>December</v>
      </c>
      <c r="P958" t="str">
        <f t="shared" si="28"/>
        <v>Middle-Aged</v>
      </c>
    </row>
    <row r="959" spans="1:16" x14ac:dyDescent="0.25">
      <c r="A959">
        <v>1958</v>
      </c>
      <c r="B959" s="1">
        <v>45010</v>
      </c>
      <c r="C959" t="s">
        <v>24</v>
      </c>
      <c r="D959" t="s">
        <v>25</v>
      </c>
      <c r="E959" s="3">
        <v>621</v>
      </c>
      <c r="F959" s="3">
        <v>3</v>
      </c>
      <c r="G959" s="3">
        <v>1863</v>
      </c>
      <c r="H959" s="3">
        <v>25</v>
      </c>
      <c r="I959" t="s">
        <v>18</v>
      </c>
      <c r="J959" t="s">
        <v>41</v>
      </c>
      <c r="K959" t="s">
        <v>42</v>
      </c>
      <c r="L959" t="s">
        <v>21</v>
      </c>
      <c r="M959" s="2">
        <v>0.15</v>
      </c>
      <c r="N959" t="s">
        <v>22</v>
      </c>
      <c r="O959" t="str">
        <f t="shared" si="29"/>
        <v>March</v>
      </c>
      <c r="P959" t="str">
        <f t="shared" si="28"/>
        <v>Young Adult</v>
      </c>
    </row>
    <row r="960" spans="1:16" x14ac:dyDescent="0.25">
      <c r="A960">
        <v>1959</v>
      </c>
      <c r="B960" s="1">
        <v>45055</v>
      </c>
      <c r="C960" t="s">
        <v>39</v>
      </c>
      <c r="D960" t="s">
        <v>40</v>
      </c>
      <c r="E960" s="3">
        <v>730</v>
      </c>
      <c r="F960" s="3">
        <v>5</v>
      </c>
      <c r="G960" s="3">
        <v>3650</v>
      </c>
      <c r="H960" s="3">
        <v>51</v>
      </c>
      <c r="I960" t="s">
        <v>18</v>
      </c>
      <c r="J960" t="s">
        <v>51</v>
      </c>
      <c r="K960" t="s">
        <v>20</v>
      </c>
      <c r="L960" t="s">
        <v>34</v>
      </c>
      <c r="M960" s="2">
        <v>0.25</v>
      </c>
      <c r="N960" t="s">
        <v>29</v>
      </c>
      <c r="O960" t="str">
        <f t="shared" si="29"/>
        <v>May</v>
      </c>
      <c r="P960" t="str">
        <f t="shared" si="28"/>
        <v>Middle-Aged</v>
      </c>
    </row>
    <row r="961" spans="1:16" x14ac:dyDescent="0.25">
      <c r="A961">
        <v>1960</v>
      </c>
      <c r="B961" s="1">
        <v>45235</v>
      </c>
      <c r="C961" t="s">
        <v>39</v>
      </c>
      <c r="D961" t="s">
        <v>68</v>
      </c>
      <c r="E961" s="3">
        <v>576</v>
      </c>
      <c r="F961" s="3">
        <v>4</v>
      </c>
      <c r="G961" s="3">
        <v>2304</v>
      </c>
      <c r="H961" s="3">
        <v>45</v>
      </c>
      <c r="I961" t="s">
        <v>18</v>
      </c>
      <c r="J961" t="s">
        <v>41</v>
      </c>
      <c r="K961" t="s">
        <v>37</v>
      </c>
      <c r="L961" t="s">
        <v>38</v>
      </c>
      <c r="M961" s="2">
        <v>0.1</v>
      </c>
      <c r="N961" t="s">
        <v>29</v>
      </c>
      <c r="O961" t="str">
        <f t="shared" si="29"/>
        <v>November</v>
      </c>
      <c r="P961" t="str">
        <f t="shared" si="28"/>
        <v>Adult</v>
      </c>
    </row>
    <row r="962" spans="1:16" x14ac:dyDescent="0.25">
      <c r="A962">
        <v>1961</v>
      </c>
      <c r="B962" s="1">
        <v>45204</v>
      </c>
      <c r="C962" t="s">
        <v>24</v>
      </c>
      <c r="D962" t="s">
        <v>25</v>
      </c>
      <c r="E962" s="3">
        <v>420</v>
      </c>
      <c r="F962" s="3">
        <v>5</v>
      </c>
      <c r="G962" s="3">
        <v>2100</v>
      </c>
      <c r="H962" s="3">
        <v>31</v>
      </c>
      <c r="I962" t="s">
        <v>32</v>
      </c>
      <c r="J962" t="s">
        <v>51</v>
      </c>
      <c r="K962" t="s">
        <v>20</v>
      </c>
      <c r="L962" t="s">
        <v>21</v>
      </c>
      <c r="M962" s="2">
        <v>0.2</v>
      </c>
      <c r="N962" t="s">
        <v>22</v>
      </c>
      <c r="O962" t="str">
        <f t="shared" si="29"/>
        <v>October</v>
      </c>
      <c r="P962" t="str">
        <f t="shared" ref="P962:P1000" si="30">IF(H962&lt;13, "Child", IF(H962&lt;18, "Teen", IF(H962&lt;30, "Young Adult", IF(H962&lt;50, "Adult", IF(H962&lt;65, "Middle-Aged", "Senior")))))</f>
        <v>Adult</v>
      </c>
    </row>
    <row r="963" spans="1:16" x14ac:dyDescent="0.25">
      <c r="A963">
        <v>1962</v>
      </c>
      <c r="B963" s="1">
        <v>45055</v>
      </c>
      <c r="C963" t="s">
        <v>30</v>
      </c>
      <c r="D963" t="s">
        <v>69</v>
      </c>
      <c r="E963" s="3">
        <v>644</v>
      </c>
      <c r="F963" s="3">
        <v>5</v>
      </c>
      <c r="G963" s="3">
        <v>3220</v>
      </c>
      <c r="H963" s="3">
        <v>40</v>
      </c>
      <c r="I963" t="s">
        <v>18</v>
      </c>
      <c r="J963" t="s">
        <v>58</v>
      </c>
      <c r="K963" t="s">
        <v>37</v>
      </c>
      <c r="L963" t="s">
        <v>28</v>
      </c>
      <c r="M963" s="2">
        <v>0.25</v>
      </c>
      <c r="N963" t="s">
        <v>29</v>
      </c>
      <c r="O963" t="str">
        <f t="shared" ref="O963:O1000" si="31">TEXT(B963, "MMMM")</f>
        <v>May</v>
      </c>
      <c r="P963" t="str">
        <f t="shared" si="30"/>
        <v>Adult</v>
      </c>
    </row>
    <row r="964" spans="1:16" x14ac:dyDescent="0.25">
      <c r="A964">
        <v>1963</v>
      </c>
      <c r="B964" s="1">
        <v>45282</v>
      </c>
      <c r="C964" t="s">
        <v>49</v>
      </c>
      <c r="D964" t="s">
        <v>81</v>
      </c>
      <c r="E964" s="3">
        <v>1254</v>
      </c>
      <c r="F964" s="3">
        <v>2</v>
      </c>
      <c r="G964" s="3">
        <v>2508</v>
      </c>
      <c r="H964" s="3">
        <v>21</v>
      </c>
      <c r="I964" t="s">
        <v>18</v>
      </c>
      <c r="J964" t="s">
        <v>60</v>
      </c>
      <c r="K964" t="s">
        <v>27</v>
      </c>
      <c r="L964" t="s">
        <v>28</v>
      </c>
      <c r="M964" s="2">
        <v>0.05</v>
      </c>
      <c r="N964" t="s">
        <v>29</v>
      </c>
      <c r="O964" t="str">
        <f t="shared" si="31"/>
        <v>December</v>
      </c>
      <c r="P964" t="str">
        <f t="shared" si="30"/>
        <v>Young Adult</v>
      </c>
    </row>
    <row r="965" spans="1:16" x14ac:dyDescent="0.25">
      <c r="A965">
        <v>1964</v>
      </c>
      <c r="B965" s="1">
        <v>45129</v>
      </c>
      <c r="C965" t="s">
        <v>39</v>
      </c>
      <c r="D965" t="s">
        <v>78</v>
      </c>
      <c r="E965" s="3">
        <v>591</v>
      </c>
      <c r="F965" s="3">
        <v>3</v>
      </c>
      <c r="G965" s="3">
        <v>1773</v>
      </c>
      <c r="H965" s="3">
        <v>32</v>
      </c>
      <c r="I965" t="s">
        <v>18</v>
      </c>
      <c r="J965" t="s">
        <v>19</v>
      </c>
      <c r="K965" t="s">
        <v>27</v>
      </c>
      <c r="L965" t="s">
        <v>28</v>
      </c>
      <c r="M965" s="2">
        <v>0.25</v>
      </c>
      <c r="N965" t="s">
        <v>22</v>
      </c>
      <c r="O965" t="str">
        <f t="shared" si="31"/>
        <v>July</v>
      </c>
      <c r="P965" t="str">
        <f t="shared" si="30"/>
        <v>Adult</v>
      </c>
    </row>
    <row r="966" spans="1:16" x14ac:dyDescent="0.25">
      <c r="A966">
        <v>1965</v>
      </c>
      <c r="B966" s="1">
        <v>44994</v>
      </c>
      <c r="C966" t="s">
        <v>52</v>
      </c>
      <c r="D966" t="s">
        <v>82</v>
      </c>
      <c r="E966" s="3">
        <v>1244</v>
      </c>
      <c r="F966" s="3">
        <v>3</v>
      </c>
      <c r="G966" s="3">
        <v>3732</v>
      </c>
      <c r="H966" s="3">
        <v>50</v>
      </c>
      <c r="I966" t="s">
        <v>32</v>
      </c>
      <c r="J966" t="s">
        <v>41</v>
      </c>
      <c r="K966" t="s">
        <v>37</v>
      </c>
      <c r="L966" t="s">
        <v>38</v>
      </c>
      <c r="M966" s="2">
        <v>0.25</v>
      </c>
      <c r="N966" t="s">
        <v>22</v>
      </c>
      <c r="O966" t="str">
        <f t="shared" si="31"/>
        <v>March</v>
      </c>
      <c r="P966" t="str">
        <f t="shared" si="30"/>
        <v>Middle-Aged</v>
      </c>
    </row>
    <row r="967" spans="1:16" x14ac:dyDescent="0.25">
      <c r="A967">
        <v>1966</v>
      </c>
      <c r="B967" s="1">
        <v>44960</v>
      </c>
      <c r="C967" t="s">
        <v>24</v>
      </c>
      <c r="D967" t="s">
        <v>54</v>
      </c>
      <c r="E967" s="3">
        <v>1241</v>
      </c>
      <c r="F967" s="3">
        <v>1</v>
      </c>
      <c r="G967" s="3">
        <v>1241</v>
      </c>
      <c r="H967" s="3">
        <v>27</v>
      </c>
      <c r="I967" t="s">
        <v>18</v>
      </c>
      <c r="J967" t="s">
        <v>63</v>
      </c>
      <c r="K967" t="s">
        <v>42</v>
      </c>
      <c r="L967" t="s">
        <v>21</v>
      </c>
      <c r="M967" s="2">
        <v>0.3</v>
      </c>
      <c r="N967" t="s">
        <v>22</v>
      </c>
      <c r="O967" t="str">
        <f t="shared" si="31"/>
        <v>February</v>
      </c>
      <c r="P967" t="str">
        <f t="shared" si="30"/>
        <v>Young Adult</v>
      </c>
    </row>
    <row r="968" spans="1:16" x14ac:dyDescent="0.25">
      <c r="A968">
        <v>1967</v>
      </c>
      <c r="B968" s="1">
        <v>44990</v>
      </c>
      <c r="C968" t="s">
        <v>39</v>
      </c>
      <c r="D968" t="s">
        <v>68</v>
      </c>
      <c r="E968" s="3">
        <v>74</v>
      </c>
      <c r="F968" s="3">
        <v>2</v>
      </c>
      <c r="G968" s="3">
        <v>148</v>
      </c>
      <c r="H968" s="3">
        <v>39</v>
      </c>
      <c r="I968" t="s">
        <v>18</v>
      </c>
      <c r="J968" t="s">
        <v>19</v>
      </c>
      <c r="K968" t="s">
        <v>37</v>
      </c>
      <c r="L968" t="s">
        <v>47</v>
      </c>
      <c r="M968" s="2">
        <v>0.2</v>
      </c>
      <c r="N968" t="s">
        <v>29</v>
      </c>
      <c r="O968" t="str">
        <f t="shared" si="31"/>
        <v>March</v>
      </c>
      <c r="P968" t="str">
        <f t="shared" si="30"/>
        <v>Adult</v>
      </c>
    </row>
    <row r="969" spans="1:16" x14ac:dyDescent="0.25">
      <c r="A969">
        <v>1968</v>
      </c>
      <c r="B969" s="1">
        <v>44961</v>
      </c>
      <c r="C969" t="s">
        <v>30</v>
      </c>
      <c r="D969" t="s">
        <v>69</v>
      </c>
      <c r="E969" s="3">
        <v>252</v>
      </c>
      <c r="F969" s="3">
        <v>1</v>
      </c>
      <c r="G969" s="3">
        <v>252</v>
      </c>
      <c r="H969" s="3">
        <v>18</v>
      </c>
      <c r="I969" t="s">
        <v>18</v>
      </c>
      <c r="J969" t="s">
        <v>58</v>
      </c>
      <c r="K969" t="s">
        <v>20</v>
      </c>
      <c r="L969" t="s">
        <v>38</v>
      </c>
      <c r="M969" s="2">
        <v>0.1</v>
      </c>
      <c r="N969" t="s">
        <v>22</v>
      </c>
      <c r="O969" t="str">
        <f t="shared" si="31"/>
        <v>February</v>
      </c>
      <c r="P969" t="str">
        <f t="shared" si="30"/>
        <v>Young Adult</v>
      </c>
    </row>
    <row r="970" spans="1:16" x14ac:dyDescent="0.25">
      <c r="A970">
        <v>1969</v>
      </c>
      <c r="B970" s="1">
        <v>44956</v>
      </c>
      <c r="C970" t="s">
        <v>24</v>
      </c>
      <c r="D970" t="s">
        <v>80</v>
      </c>
      <c r="E970" s="3">
        <v>1077</v>
      </c>
      <c r="F970" s="3">
        <v>3</v>
      </c>
      <c r="G970" s="3">
        <v>3231</v>
      </c>
      <c r="H970" s="3">
        <v>36</v>
      </c>
      <c r="I970" t="s">
        <v>18</v>
      </c>
      <c r="J970" t="s">
        <v>19</v>
      </c>
      <c r="K970" t="s">
        <v>45</v>
      </c>
      <c r="L970" t="s">
        <v>47</v>
      </c>
      <c r="M970" s="2">
        <v>0.15</v>
      </c>
      <c r="N970" t="s">
        <v>22</v>
      </c>
      <c r="O970" t="str">
        <f t="shared" si="31"/>
        <v>January</v>
      </c>
      <c r="P970" t="str">
        <f t="shared" si="30"/>
        <v>Adult</v>
      </c>
    </row>
    <row r="971" spans="1:16" x14ac:dyDescent="0.25">
      <c r="A971">
        <v>1970</v>
      </c>
      <c r="B971" s="1">
        <v>45145</v>
      </c>
      <c r="C971" t="s">
        <v>30</v>
      </c>
      <c r="D971" t="s">
        <v>77</v>
      </c>
      <c r="E971" s="3">
        <v>638</v>
      </c>
      <c r="F971" s="3">
        <v>3</v>
      </c>
      <c r="G971" s="3">
        <v>1914</v>
      </c>
      <c r="H971" s="3">
        <v>44</v>
      </c>
      <c r="I971" t="s">
        <v>32</v>
      </c>
      <c r="J971" t="s">
        <v>41</v>
      </c>
      <c r="K971" t="s">
        <v>42</v>
      </c>
      <c r="L971" t="s">
        <v>28</v>
      </c>
      <c r="M971" s="2">
        <v>0.15</v>
      </c>
      <c r="N971" t="s">
        <v>22</v>
      </c>
      <c r="O971" t="str">
        <f t="shared" si="31"/>
        <v>August</v>
      </c>
      <c r="P971" t="str">
        <f t="shared" si="30"/>
        <v>Adult</v>
      </c>
    </row>
    <row r="972" spans="1:16" x14ac:dyDescent="0.25">
      <c r="A972">
        <v>1971</v>
      </c>
      <c r="B972" s="1">
        <v>45269</v>
      </c>
      <c r="C972" t="s">
        <v>35</v>
      </c>
      <c r="D972" t="s">
        <v>36</v>
      </c>
      <c r="E972" s="3">
        <v>1284</v>
      </c>
      <c r="F972" s="3">
        <v>4</v>
      </c>
      <c r="G972" s="3">
        <v>5136</v>
      </c>
      <c r="H972" s="3">
        <v>54</v>
      </c>
      <c r="I972" t="s">
        <v>18</v>
      </c>
      <c r="J972" t="s">
        <v>55</v>
      </c>
      <c r="K972" t="s">
        <v>27</v>
      </c>
      <c r="L972" t="s">
        <v>47</v>
      </c>
      <c r="M972" s="2">
        <v>0.15</v>
      </c>
      <c r="N972" t="s">
        <v>29</v>
      </c>
      <c r="O972" t="str">
        <f t="shared" si="31"/>
        <v>December</v>
      </c>
      <c r="P972" t="str">
        <f t="shared" si="30"/>
        <v>Middle-Aged</v>
      </c>
    </row>
    <row r="973" spans="1:16" x14ac:dyDescent="0.25">
      <c r="A973">
        <v>1972</v>
      </c>
      <c r="B973" s="1">
        <v>45263</v>
      </c>
      <c r="C973" t="s">
        <v>39</v>
      </c>
      <c r="D973" t="s">
        <v>61</v>
      </c>
      <c r="E973" s="3">
        <v>1258</v>
      </c>
      <c r="F973" s="3">
        <v>2</v>
      </c>
      <c r="G973" s="3">
        <v>2516</v>
      </c>
      <c r="H973" s="3">
        <v>57</v>
      </c>
      <c r="I973" t="s">
        <v>32</v>
      </c>
      <c r="J973" t="s">
        <v>48</v>
      </c>
      <c r="K973" t="s">
        <v>33</v>
      </c>
      <c r="L973" t="s">
        <v>28</v>
      </c>
      <c r="M973" s="2">
        <v>0.3</v>
      </c>
      <c r="N973" t="s">
        <v>29</v>
      </c>
      <c r="O973" t="str">
        <f t="shared" si="31"/>
        <v>December</v>
      </c>
      <c r="P973" t="str">
        <f t="shared" si="30"/>
        <v>Middle-Aged</v>
      </c>
    </row>
    <row r="974" spans="1:16" x14ac:dyDescent="0.25">
      <c r="A974">
        <v>1973</v>
      </c>
      <c r="B974" s="1">
        <v>44937</v>
      </c>
      <c r="C974" t="s">
        <v>16</v>
      </c>
      <c r="D974" t="s">
        <v>59</v>
      </c>
      <c r="E974" s="3">
        <v>491</v>
      </c>
      <c r="F974" s="3">
        <v>4</v>
      </c>
      <c r="G974" s="3">
        <v>1964</v>
      </c>
      <c r="H974" s="3">
        <v>48</v>
      </c>
      <c r="I974" t="s">
        <v>32</v>
      </c>
      <c r="J974" t="s">
        <v>60</v>
      </c>
      <c r="K974" t="s">
        <v>37</v>
      </c>
      <c r="L974" t="s">
        <v>34</v>
      </c>
      <c r="M974" s="2">
        <v>0.2</v>
      </c>
      <c r="N974" t="s">
        <v>22</v>
      </c>
      <c r="O974" t="str">
        <f t="shared" si="31"/>
        <v>January</v>
      </c>
      <c r="P974" t="str">
        <f t="shared" si="30"/>
        <v>Adult</v>
      </c>
    </row>
    <row r="975" spans="1:16" x14ac:dyDescent="0.25">
      <c r="A975">
        <v>1974</v>
      </c>
      <c r="B975" s="1">
        <v>45057</v>
      </c>
      <c r="C975" t="s">
        <v>49</v>
      </c>
      <c r="D975" t="s">
        <v>66</v>
      </c>
      <c r="E975" s="3">
        <v>1019</v>
      </c>
      <c r="F975" s="3">
        <v>1</v>
      </c>
      <c r="G975" s="3">
        <v>1019</v>
      </c>
      <c r="H975" s="3">
        <v>19</v>
      </c>
      <c r="I975" t="s">
        <v>32</v>
      </c>
      <c r="J975" t="s">
        <v>63</v>
      </c>
      <c r="K975" t="s">
        <v>42</v>
      </c>
      <c r="L975" t="s">
        <v>47</v>
      </c>
      <c r="M975" s="2">
        <v>0.2</v>
      </c>
      <c r="N975" t="s">
        <v>22</v>
      </c>
      <c r="O975" t="str">
        <f t="shared" si="31"/>
        <v>May</v>
      </c>
      <c r="P975" t="str">
        <f t="shared" si="30"/>
        <v>Young Adult</v>
      </c>
    </row>
    <row r="976" spans="1:16" x14ac:dyDescent="0.25">
      <c r="A976">
        <v>1975</v>
      </c>
      <c r="B976" s="1">
        <v>45147</v>
      </c>
      <c r="C976" t="s">
        <v>24</v>
      </c>
      <c r="D976" t="s">
        <v>84</v>
      </c>
      <c r="E976" s="3">
        <v>147</v>
      </c>
      <c r="F976" s="3">
        <v>2</v>
      </c>
      <c r="G976" s="3">
        <v>294</v>
      </c>
      <c r="H976" s="3">
        <v>26</v>
      </c>
      <c r="I976" t="s">
        <v>18</v>
      </c>
      <c r="J976" t="s">
        <v>60</v>
      </c>
      <c r="K976" t="s">
        <v>20</v>
      </c>
      <c r="L976" t="s">
        <v>28</v>
      </c>
      <c r="M976" s="2">
        <v>0.2</v>
      </c>
      <c r="N976" t="s">
        <v>29</v>
      </c>
      <c r="O976" t="str">
        <f t="shared" si="31"/>
        <v>August</v>
      </c>
      <c r="P976" t="str">
        <f t="shared" si="30"/>
        <v>Young Adult</v>
      </c>
    </row>
    <row r="977" spans="1:16" x14ac:dyDescent="0.25">
      <c r="A977">
        <v>1976</v>
      </c>
      <c r="B977" s="1">
        <v>45020</v>
      </c>
      <c r="C977" t="s">
        <v>49</v>
      </c>
      <c r="D977" t="s">
        <v>57</v>
      </c>
      <c r="E977" s="3">
        <v>755</v>
      </c>
      <c r="F977" s="3">
        <v>4</v>
      </c>
      <c r="G977" s="3">
        <v>3020</v>
      </c>
      <c r="H977" s="3">
        <v>21</v>
      </c>
      <c r="I977" t="s">
        <v>18</v>
      </c>
      <c r="J977" t="s">
        <v>55</v>
      </c>
      <c r="K977" t="s">
        <v>37</v>
      </c>
      <c r="L977" t="s">
        <v>34</v>
      </c>
      <c r="M977" s="2">
        <v>0.25</v>
      </c>
      <c r="N977" t="s">
        <v>29</v>
      </c>
      <c r="O977" t="str">
        <f t="shared" si="31"/>
        <v>April</v>
      </c>
      <c r="P977" t="str">
        <f t="shared" si="30"/>
        <v>Young Adult</v>
      </c>
    </row>
    <row r="978" spans="1:16" x14ac:dyDescent="0.25">
      <c r="A978">
        <v>1977</v>
      </c>
      <c r="B978" s="1">
        <v>45181</v>
      </c>
      <c r="C978" t="s">
        <v>35</v>
      </c>
      <c r="D978" t="s">
        <v>70</v>
      </c>
      <c r="E978" s="3">
        <v>1373</v>
      </c>
      <c r="F978" s="3">
        <v>4</v>
      </c>
      <c r="G978" s="3">
        <v>5492</v>
      </c>
      <c r="H978" s="3">
        <v>21</v>
      </c>
      <c r="I978" t="s">
        <v>32</v>
      </c>
      <c r="J978" t="s">
        <v>19</v>
      </c>
      <c r="K978" t="s">
        <v>45</v>
      </c>
      <c r="L978" t="s">
        <v>38</v>
      </c>
      <c r="M978" s="2">
        <v>0.15</v>
      </c>
      <c r="N978" t="s">
        <v>22</v>
      </c>
      <c r="O978" t="str">
        <f t="shared" si="31"/>
        <v>September</v>
      </c>
      <c r="P978" t="str">
        <f t="shared" si="30"/>
        <v>Young Adult</v>
      </c>
    </row>
    <row r="979" spans="1:16" x14ac:dyDescent="0.25">
      <c r="A979">
        <v>1978</v>
      </c>
      <c r="B979" s="1">
        <v>45223</v>
      </c>
      <c r="C979" t="s">
        <v>39</v>
      </c>
      <c r="D979" t="s">
        <v>68</v>
      </c>
      <c r="E979" s="3">
        <v>854</v>
      </c>
      <c r="F979" s="3">
        <v>4</v>
      </c>
      <c r="G979" s="3">
        <v>3416</v>
      </c>
      <c r="H979" s="3">
        <v>44</v>
      </c>
      <c r="I979" t="s">
        <v>18</v>
      </c>
      <c r="J979" t="s">
        <v>26</v>
      </c>
      <c r="K979" t="s">
        <v>27</v>
      </c>
      <c r="L979" t="s">
        <v>38</v>
      </c>
      <c r="M979" s="2">
        <v>0.2</v>
      </c>
      <c r="N979" t="s">
        <v>22</v>
      </c>
      <c r="O979" t="str">
        <f t="shared" si="31"/>
        <v>October</v>
      </c>
      <c r="P979" t="str">
        <f t="shared" si="30"/>
        <v>Adult</v>
      </c>
    </row>
    <row r="980" spans="1:16" x14ac:dyDescent="0.25">
      <c r="A980">
        <v>1979</v>
      </c>
      <c r="B980" s="1">
        <v>45045</v>
      </c>
      <c r="C980" t="s">
        <v>35</v>
      </c>
      <c r="D980" t="s">
        <v>74</v>
      </c>
      <c r="E980" s="3">
        <v>1071</v>
      </c>
      <c r="F980" s="3">
        <v>1</v>
      </c>
      <c r="G980" s="3">
        <v>1071</v>
      </c>
      <c r="H980" s="3">
        <v>55</v>
      </c>
      <c r="I980" t="s">
        <v>18</v>
      </c>
      <c r="J980" t="s">
        <v>19</v>
      </c>
      <c r="K980" t="s">
        <v>20</v>
      </c>
      <c r="L980" t="s">
        <v>34</v>
      </c>
      <c r="M980" s="2">
        <v>0.1</v>
      </c>
      <c r="N980" t="s">
        <v>29</v>
      </c>
      <c r="O980" t="str">
        <f t="shared" si="31"/>
        <v>April</v>
      </c>
      <c r="P980" t="str">
        <f t="shared" si="30"/>
        <v>Middle-Aged</v>
      </c>
    </row>
    <row r="981" spans="1:16" x14ac:dyDescent="0.25">
      <c r="A981">
        <v>1980</v>
      </c>
      <c r="B981" s="1">
        <v>45089</v>
      </c>
      <c r="C981" t="s">
        <v>39</v>
      </c>
      <c r="D981" t="s">
        <v>40</v>
      </c>
      <c r="E981" s="3">
        <v>741</v>
      </c>
      <c r="F981" s="3">
        <v>1</v>
      </c>
      <c r="G981" s="3">
        <v>741</v>
      </c>
      <c r="H981" s="3">
        <v>39</v>
      </c>
      <c r="I981" t="s">
        <v>32</v>
      </c>
      <c r="J981" t="s">
        <v>26</v>
      </c>
      <c r="K981" t="s">
        <v>37</v>
      </c>
      <c r="L981" t="s">
        <v>47</v>
      </c>
      <c r="M981" s="2">
        <v>0.1</v>
      </c>
      <c r="N981" t="s">
        <v>29</v>
      </c>
      <c r="O981" t="str">
        <f t="shared" si="31"/>
        <v>June</v>
      </c>
      <c r="P981" t="str">
        <f t="shared" si="30"/>
        <v>Adult</v>
      </c>
    </row>
    <row r="982" spans="1:16" x14ac:dyDescent="0.25">
      <c r="A982">
        <v>1981</v>
      </c>
      <c r="B982" s="1">
        <v>44955</v>
      </c>
      <c r="C982" t="s">
        <v>35</v>
      </c>
      <c r="D982" t="s">
        <v>72</v>
      </c>
      <c r="E982" s="3">
        <v>1062</v>
      </c>
      <c r="F982" s="3">
        <v>1</v>
      </c>
      <c r="G982" s="3">
        <v>1062</v>
      </c>
      <c r="H982" s="3">
        <v>29</v>
      </c>
      <c r="I982" t="s">
        <v>18</v>
      </c>
      <c r="J982" t="s">
        <v>55</v>
      </c>
      <c r="K982" t="s">
        <v>37</v>
      </c>
      <c r="L982" t="s">
        <v>38</v>
      </c>
      <c r="M982" s="2">
        <v>0.25</v>
      </c>
      <c r="N982" t="s">
        <v>29</v>
      </c>
      <c r="O982" t="str">
        <f t="shared" si="31"/>
        <v>January</v>
      </c>
      <c r="P982" t="str">
        <f t="shared" si="30"/>
        <v>Young Adult</v>
      </c>
    </row>
    <row r="983" spans="1:16" x14ac:dyDescent="0.25">
      <c r="A983">
        <v>1982</v>
      </c>
      <c r="B983" s="1">
        <v>45152</v>
      </c>
      <c r="C983" t="s">
        <v>30</v>
      </c>
      <c r="D983" t="s">
        <v>69</v>
      </c>
      <c r="E983" s="3">
        <v>1303</v>
      </c>
      <c r="F983" s="3">
        <v>4</v>
      </c>
      <c r="G983" s="3">
        <v>5212</v>
      </c>
      <c r="H983" s="3">
        <v>53</v>
      </c>
      <c r="I983" t="s">
        <v>32</v>
      </c>
      <c r="J983" t="s">
        <v>55</v>
      </c>
      <c r="K983" t="s">
        <v>20</v>
      </c>
      <c r="L983" t="s">
        <v>47</v>
      </c>
      <c r="M983" s="2">
        <v>0.1</v>
      </c>
      <c r="N983" t="s">
        <v>22</v>
      </c>
      <c r="O983" t="str">
        <f t="shared" si="31"/>
        <v>August</v>
      </c>
      <c r="P983" t="str">
        <f t="shared" si="30"/>
        <v>Middle-Aged</v>
      </c>
    </row>
    <row r="984" spans="1:16" x14ac:dyDescent="0.25">
      <c r="A984">
        <v>1983</v>
      </c>
      <c r="B984" s="1">
        <v>45129</v>
      </c>
      <c r="C984" t="s">
        <v>30</v>
      </c>
      <c r="D984" t="s">
        <v>31</v>
      </c>
      <c r="E984" s="3">
        <v>798</v>
      </c>
      <c r="F984" s="3">
        <v>1</v>
      </c>
      <c r="G984" s="3">
        <v>798</v>
      </c>
      <c r="H984" s="3">
        <v>36</v>
      </c>
      <c r="I984" t="s">
        <v>18</v>
      </c>
      <c r="J984" t="s">
        <v>58</v>
      </c>
      <c r="K984" t="s">
        <v>27</v>
      </c>
      <c r="L984" t="s">
        <v>34</v>
      </c>
      <c r="M984" s="2">
        <v>0.25</v>
      </c>
      <c r="N984" t="s">
        <v>29</v>
      </c>
      <c r="O984" t="str">
        <f t="shared" si="31"/>
        <v>July</v>
      </c>
      <c r="P984" t="str">
        <f t="shared" si="30"/>
        <v>Adult</v>
      </c>
    </row>
    <row r="985" spans="1:16" x14ac:dyDescent="0.25">
      <c r="A985">
        <v>1984</v>
      </c>
      <c r="B985" s="1">
        <v>45054</v>
      </c>
      <c r="C985" t="s">
        <v>35</v>
      </c>
      <c r="D985" t="s">
        <v>74</v>
      </c>
      <c r="E985" s="3">
        <v>333</v>
      </c>
      <c r="F985" s="3">
        <v>1</v>
      </c>
      <c r="G985" s="3">
        <v>333</v>
      </c>
      <c r="H985" s="3">
        <v>50</v>
      </c>
      <c r="I985" t="s">
        <v>32</v>
      </c>
      <c r="J985" t="s">
        <v>60</v>
      </c>
      <c r="K985" t="s">
        <v>45</v>
      </c>
      <c r="L985" t="s">
        <v>47</v>
      </c>
      <c r="M985" s="2">
        <v>0.15</v>
      </c>
      <c r="N985" t="s">
        <v>22</v>
      </c>
      <c r="O985" t="str">
        <f t="shared" si="31"/>
        <v>May</v>
      </c>
      <c r="P985" t="str">
        <f t="shared" si="30"/>
        <v>Middle-Aged</v>
      </c>
    </row>
    <row r="986" spans="1:16" x14ac:dyDescent="0.25">
      <c r="A986">
        <v>1985</v>
      </c>
      <c r="B986" s="1">
        <v>45020</v>
      </c>
      <c r="C986" t="s">
        <v>39</v>
      </c>
      <c r="D986" t="s">
        <v>68</v>
      </c>
      <c r="E986" s="3">
        <v>717</v>
      </c>
      <c r="F986" s="3">
        <v>4</v>
      </c>
      <c r="G986" s="3">
        <v>2868</v>
      </c>
      <c r="H986" s="3">
        <v>52</v>
      </c>
      <c r="I986" t="s">
        <v>18</v>
      </c>
      <c r="J986" t="s">
        <v>41</v>
      </c>
      <c r="K986" t="s">
        <v>27</v>
      </c>
      <c r="L986" t="s">
        <v>38</v>
      </c>
      <c r="M986" s="2">
        <v>0.25</v>
      </c>
      <c r="N986" t="s">
        <v>22</v>
      </c>
      <c r="O986" t="str">
        <f t="shared" si="31"/>
        <v>April</v>
      </c>
      <c r="P986" t="str">
        <f t="shared" si="30"/>
        <v>Middle-Aged</v>
      </c>
    </row>
    <row r="987" spans="1:16" x14ac:dyDescent="0.25">
      <c r="A987">
        <v>1986</v>
      </c>
      <c r="B987" s="1">
        <v>45265</v>
      </c>
      <c r="C987" t="s">
        <v>49</v>
      </c>
      <c r="D987" t="s">
        <v>66</v>
      </c>
      <c r="E987" s="3">
        <v>939</v>
      </c>
      <c r="F987" s="3">
        <v>2</v>
      </c>
      <c r="G987" s="3">
        <v>1878</v>
      </c>
      <c r="H987" s="3">
        <v>49</v>
      </c>
      <c r="I987" t="s">
        <v>18</v>
      </c>
      <c r="J987" t="s">
        <v>51</v>
      </c>
      <c r="K987" t="s">
        <v>20</v>
      </c>
      <c r="L987" t="s">
        <v>38</v>
      </c>
      <c r="M987" s="2">
        <v>0.05</v>
      </c>
      <c r="N987" t="s">
        <v>29</v>
      </c>
      <c r="O987" t="str">
        <f t="shared" si="31"/>
        <v>December</v>
      </c>
      <c r="P987" t="str">
        <f t="shared" si="30"/>
        <v>Adult</v>
      </c>
    </row>
    <row r="988" spans="1:16" x14ac:dyDescent="0.25">
      <c r="A988">
        <v>1987</v>
      </c>
      <c r="B988" s="1">
        <v>45164</v>
      </c>
      <c r="C988" t="s">
        <v>30</v>
      </c>
      <c r="D988" t="s">
        <v>79</v>
      </c>
      <c r="E988" s="3">
        <v>1166</v>
      </c>
      <c r="F988" s="3">
        <v>4</v>
      </c>
      <c r="G988" s="3">
        <v>4664</v>
      </c>
      <c r="H988" s="3">
        <v>43</v>
      </c>
      <c r="I988" t="s">
        <v>18</v>
      </c>
      <c r="J988" t="s">
        <v>51</v>
      </c>
      <c r="K988" t="s">
        <v>33</v>
      </c>
      <c r="L988" t="s">
        <v>21</v>
      </c>
      <c r="M988" s="2">
        <v>0.2</v>
      </c>
      <c r="N988" t="s">
        <v>29</v>
      </c>
      <c r="O988" t="str">
        <f t="shared" si="31"/>
        <v>August</v>
      </c>
      <c r="P988" t="str">
        <f t="shared" si="30"/>
        <v>Adult</v>
      </c>
    </row>
    <row r="989" spans="1:16" x14ac:dyDescent="0.25">
      <c r="A989">
        <v>1988</v>
      </c>
      <c r="B989" s="1">
        <v>45136</v>
      </c>
      <c r="C989" t="s">
        <v>35</v>
      </c>
      <c r="D989" t="s">
        <v>36</v>
      </c>
      <c r="E989" s="3">
        <v>610</v>
      </c>
      <c r="F989" s="3">
        <v>4</v>
      </c>
      <c r="G989" s="3">
        <v>2440</v>
      </c>
      <c r="H989" s="3">
        <v>37</v>
      </c>
      <c r="I989" t="s">
        <v>32</v>
      </c>
      <c r="J989" t="s">
        <v>43</v>
      </c>
      <c r="K989" t="s">
        <v>42</v>
      </c>
      <c r="L989" t="s">
        <v>21</v>
      </c>
      <c r="M989" s="2">
        <v>0.25</v>
      </c>
      <c r="N989" t="s">
        <v>29</v>
      </c>
      <c r="O989" t="str">
        <f t="shared" si="31"/>
        <v>July</v>
      </c>
      <c r="P989" t="str">
        <f t="shared" si="30"/>
        <v>Adult</v>
      </c>
    </row>
    <row r="990" spans="1:16" x14ac:dyDescent="0.25">
      <c r="A990">
        <v>1989</v>
      </c>
      <c r="B990" s="1">
        <v>45178</v>
      </c>
      <c r="C990" t="s">
        <v>39</v>
      </c>
      <c r="D990" t="s">
        <v>61</v>
      </c>
      <c r="E990" s="3">
        <v>1377</v>
      </c>
      <c r="F990" s="3">
        <v>2</v>
      </c>
      <c r="G990" s="3">
        <v>2754</v>
      </c>
      <c r="H990" s="3">
        <v>18</v>
      </c>
      <c r="I990" t="s">
        <v>32</v>
      </c>
      <c r="J990" t="s">
        <v>19</v>
      </c>
      <c r="K990" t="s">
        <v>45</v>
      </c>
      <c r="L990" t="s">
        <v>47</v>
      </c>
      <c r="M990" s="2">
        <v>0.05</v>
      </c>
      <c r="N990" t="s">
        <v>29</v>
      </c>
      <c r="O990" t="str">
        <f t="shared" si="31"/>
        <v>September</v>
      </c>
      <c r="P990" t="str">
        <f t="shared" si="30"/>
        <v>Young Adult</v>
      </c>
    </row>
    <row r="991" spans="1:16" x14ac:dyDescent="0.25">
      <c r="A991">
        <v>1990</v>
      </c>
      <c r="B991" s="1">
        <v>44984</v>
      </c>
      <c r="C991" t="s">
        <v>16</v>
      </c>
      <c r="D991" t="s">
        <v>71</v>
      </c>
      <c r="E991" s="3">
        <v>845</v>
      </c>
      <c r="F991" s="3">
        <v>5</v>
      </c>
      <c r="G991" s="3">
        <v>4225</v>
      </c>
      <c r="H991" s="3">
        <v>57</v>
      </c>
      <c r="I991" t="s">
        <v>32</v>
      </c>
      <c r="J991" t="s">
        <v>60</v>
      </c>
      <c r="K991" t="s">
        <v>45</v>
      </c>
      <c r="L991" t="s">
        <v>38</v>
      </c>
      <c r="M991" s="2">
        <v>0.3</v>
      </c>
      <c r="N991" t="s">
        <v>22</v>
      </c>
      <c r="O991" t="str">
        <f t="shared" si="31"/>
        <v>February</v>
      </c>
      <c r="P991" t="str">
        <f t="shared" si="30"/>
        <v>Middle-Aged</v>
      </c>
    </row>
    <row r="992" spans="1:16" x14ac:dyDescent="0.25">
      <c r="A992">
        <v>1991</v>
      </c>
      <c r="B992" s="1">
        <v>45307</v>
      </c>
      <c r="C992" t="s">
        <v>16</v>
      </c>
      <c r="D992" t="s">
        <v>56</v>
      </c>
      <c r="E992" s="3">
        <v>847</v>
      </c>
      <c r="F992" s="3">
        <v>1</v>
      </c>
      <c r="G992" s="3">
        <v>847</v>
      </c>
      <c r="H992" s="3">
        <v>22</v>
      </c>
      <c r="I992" t="s">
        <v>32</v>
      </c>
      <c r="J992" t="s">
        <v>43</v>
      </c>
      <c r="K992" t="s">
        <v>33</v>
      </c>
      <c r="L992" t="s">
        <v>28</v>
      </c>
      <c r="M992" s="2">
        <v>0.05</v>
      </c>
      <c r="N992" t="s">
        <v>22</v>
      </c>
      <c r="O992" t="str">
        <f t="shared" si="31"/>
        <v>January</v>
      </c>
      <c r="P992" t="str">
        <f t="shared" si="30"/>
        <v>Young Adult</v>
      </c>
    </row>
    <row r="993" spans="1:16" x14ac:dyDescent="0.25">
      <c r="A993">
        <v>1992</v>
      </c>
      <c r="B993" s="1">
        <v>45005</v>
      </c>
      <c r="C993" t="s">
        <v>49</v>
      </c>
      <c r="D993" t="s">
        <v>64</v>
      </c>
      <c r="E993" s="3">
        <v>1068</v>
      </c>
      <c r="F993" s="3">
        <v>1</v>
      </c>
      <c r="G993" s="3">
        <v>1068</v>
      </c>
      <c r="H993" s="3">
        <v>36</v>
      </c>
      <c r="I993" t="s">
        <v>32</v>
      </c>
      <c r="J993" t="s">
        <v>55</v>
      </c>
      <c r="K993" t="s">
        <v>20</v>
      </c>
      <c r="L993" t="s">
        <v>34</v>
      </c>
      <c r="M993" s="2">
        <v>0.05</v>
      </c>
      <c r="N993" t="s">
        <v>22</v>
      </c>
      <c r="O993" t="str">
        <f t="shared" si="31"/>
        <v>March</v>
      </c>
      <c r="P993" t="str">
        <f t="shared" si="30"/>
        <v>Adult</v>
      </c>
    </row>
    <row r="994" spans="1:16" x14ac:dyDescent="0.25">
      <c r="A994">
        <v>1993</v>
      </c>
      <c r="B994" s="1">
        <v>45086</v>
      </c>
      <c r="C994" t="s">
        <v>52</v>
      </c>
      <c r="D994" t="s">
        <v>73</v>
      </c>
      <c r="E994" s="3">
        <v>315</v>
      </c>
      <c r="F994" s="3">
        <v>4</v>
      </c>
      <c r="G994" s="3">
        <v>1260</v>
      </c>
      <c r="H994" s="3">
        <v>29</v>
      </c>
      <c r="I994" t="s">
        <v>32</v>
      </c>
      <c r="J994" t="s">
        <v>63</v>
      </c>
      <c r="K994" t="s">
        <v>20</v>
      </c>
      <c r="L994" t="s">
        <v>34</v>
      </c>
      <c r="M994" s="2">
        <v>0.3</v>
      </c>
      <c r="N994" t="s">
        <v>22</v>
      </c>
      <c r="O994" t="str">
        <f t="shared" si="31"/>
        <v>June</v>
      </c>
      <c r="P994" t="str">
        <f t="shared" si="30"/>
        <v>Young Adult</v>
      </c>
    </row>
    <row r="995" spans="1:16" x14ac:dyDescent="0.25">
      <c r="A995">
        <v>1994</v>
      </c>
      <c r="B995" s="1">
        <v>45013</v>
      </c>
      <c r="C995" t="s">
        <v>39</v>
      </c>
      <c r="D995" t="s">
        <v>46</v>
      </c>
      <c r="E995" s="3">
        <v>1264</v>
      </c>
      <c r="F995" s="3">
        <v>3</v>
      </c>
      <c r="G995" s="3">
        <v>3792</v>
      </c>
      <c r="H995" s="3">
        <v>20</v>
      </c>
      <c r="I995" t="s">
        <v>18</v>
      </c>
      <c r="J995" t="s">
        <v>58</v>
      </c>
      <c r="K995" t="s">
        <v>42</v>
      </c>
      <c r="L995" t="s">
        <v>47</v>
      </c>
      <c r="M995" s="2">
        <v>0.25</v>
      </c>
      <c r="N995" t="s">
        <v>29</v>
      </c>
      <c r="O995" t="str">
        <f t="shared" si="31"/>
        <v>March</v>
      </c>
      <c r="P995" t="str">
        <f t="shared" si="30"/>
        <v>Young Adult</v>
      </c>
    </row>
    <row r="996" spans="1:16" x14ac:dyDescent="0.25">
      <c r="A996">
        <v>1995</v>
      </c>
      <c r="B996" s="1">
        <v>45180</v>
      </c>
      <c r="C996" t="s">
        <v>49</v>
      </c>
      <c r="D996" t="s">
        <v>64</v>
      </c>
      <c r="E996" s="3">
        <v>1374</v>
      </c>
      <c r="F996" s="3">
        <v>5</v>
      </c>
      <c r="G996" s="3">
        <v>6870</v>
      </c>
      <c r="H996" s="3">
        <v>52</v>
      </c>
      <c r="I996" t="s">
        <v>32</v>
      </c>
      <c r="J996" t="s">
        <v>63</v>
      </c>
      <c r="K996" t="s">
        <v>45</v>
      </c>
      <c r="L996" t="s">
        <v>38</v>
      </c>
      <c r="M996" s="2">
        <v>0.2</v>
      </c>
      <c r="N996" t="s">
        <v>29</v>
      </c>
      <c r="O996" t="str">
        <f t="shared" si="31"/>
        <v>September</v>
      </c>
      <c r="P996" t="str">
        <f t="shared" si="30"/>
        <v>Middle-Aged</v>
      </c>
    </row>
    <row r="997" spans="1:16" x14ac:dyDescent="0.25">
      <c r="A997">
        <v>1996</v>
      </c>
      <c r="B997" s="1">
        <v>45226</v>
      </c>
      <c r="C997" t="s">
        <v>35</v>
      </c>
      <c r="D997" t="s">
        <v>36</v>
      </c>
      <c r="E997" s="3">
        <v>480</v>
      </c>
      <c r="F997" s="3">
        <v>5</v>
      </c>
      <c r="G997" s="3">
        <v>2400</v>
      </c>
      <c r="H997" s="3">
        <v>60</v>
      </c>
      <c r="I997" t="s">
        <v>32</v>
      </c>
      <c r="J997" t="s">
        <v>48</v>
      </c>
      <c r="K997" t="s">
        <v>33</v>
      </c>
      <c r="L997" t="s">
        <v>28</v>
      </c>
      <c r="M997" s="2">
        <v>0.2</v>
      </c>
      <c r="N997" t="s">
        <v>29</v>
      </c>
      <c r="O997" t="str">
        <f t="shared" si="31"/>
        <v>October</v>
      </c>
      <c r="P997" t="str">
        <f t="shared" si="30"/>
        <v>Middle-Aged</v>
      </c>
    </row>
    <row r="998" spans="1:16" x14ac:dyDescent="0.25">
      <c r="A998">
        <v>1997</v>
      </c>
      <c r="B998" s="1">
        <v>45281</v>
      </c>
      <c r="C998" t="s">
        <v>52</v>
      </c>
      <c r="D998" t="s">
        <v>53</v>
      </c>
      <c r="E998" s="3">
        <v>207</v>
      </c>
      <c r="F998" s="3">
        <v>3</v>
      </c>
      <c r="G998" s="3">
        <v>621</v>
      </c>
      <c r="H998" s="3">
        <v>38</v>
      </c>
      <c r="I998" t="s">
        <v>18</v>
      </c>
      <c r="J998" t="s">
        <v>41</v>
      </c>
      <c r="K998" t="s">
        <v>33</v>
      </c>
      <c r="L998" t="s">
        <v>28</v>
      </c>
      <c r="M998" s="2">
        <v>0.25</v>
      </c>
      <c r="N998" t="s">
        <v>22</v>
      </c>
      <c r="O998" t="str">
        <f t="shared" si="31"/>
        <v>December</v>
      </c>
      <c r="P998" t="str">
        <f t="shared" si="30"/>
        <v>Adult</v>
      </c>
    </row>
    <row r="999" spans="1:16" x14ac:dyDescent="0.25">
      <c r="A999">
        <v>1998</v>
      </c>
      <c r="B999" s="1">
        <v>44980</v>
      </c>
      <c r="C999" t="s">
        <v>39</v>
      </c>
      <c r="D999" t="s">
        <v>68</v>
      </c>
      <c r="E999" s="3">
        <v>1323</v>
      </c>
      <c r="F999" s="3">
        <v>3</v>
      </c>
      <c r="G999" s="3">
        <v>3969</v>
      </c>
      <c r="H999" s="3">
        <v>23</v>
      </c>
      <c r="I999" t="s">
        <v>32</v>
      </c>
      <c r="J999" t="s">
        <v>51</v>
      </c>
      <c r="K999" t="s">
        <v>37</v>
      </c>
      <c r="L999" t="s">
        <v>47</v>
      </c>
      <c r="M999" s="2">
        <v>0.05</v>
      </c>
      <c r="N999" t="s">
        <v>22</v>
      </c>
      <c r="O999" t="str">
        <f t="shared" si="31"/>
        <v>February</v>
      </c>
      <c r="P999" t="str">
        <f t="shared" si="30"/>
        <v>Young Adult</v>
      </c>
    </row>
    <row r="1000" spans="1:16" x14ac:dyDescent="0.25">
      <c r="A1000">
        <v>1999</v>
      </c>
      <c r="B1000" s="1">
        <v>44937</v>
      </c>
      <c r="C1000" t="s">
        <v>35</v>
      </c>
      <c r="D1000" t="s">
        <v>70</v>
      </c>
      <c r="E1000" s="3">
        <v>707</v>
      </c>
      <c r="F1000" s="3">
        <v>5</v>
      </c>
      <c r="G1000" s="3">
        <v>3535</v>
      </c>
      <c r="H1000" s="3">
        <v>18</v>
      </c>
      <c r="I1000" t="s">
        <v>18</v>
      </c>
      <c r="J1000" t="s">
        <v>60</v>
      </c>
      <c r="K1000" t="s">
        <v>37</v>
      </c>
      <c r="L1000" t="s">
        <v>47</v>
      </c>
      <c r="M1000" s="2">
        <v>0.25</v>
      </c>
      <c r="N1000" t="s">
        <v>22</v>
      </c>
      <c r="O1000" t="str">
        <f t="shared" si="31"/>
        <v>January</v>
      </c>
      <c r="P1000" t="str">
        <f t="shared" si="30"/>
        <v>Young Adult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63A4-00F6-4FF1-AA29-F47C363C3425}">
  <dimension ref="A1:AJ85"/>
  <sheetViews>
    <sheetView showGridLines="0" tabSelected="1" workbookViewId="0">
      <selection activeCell="M13" sqref="M13"/>
    </sheetView>
  </sheetViews>
  <sheetFormatPr defaultRowHeight="15" x14ac:dyDescent="0.25"/>
  <cols>
    <col min="1" max="7" width="19.140625" bestFit="1" customWidth="1"/>
    <col min="8" max="8" width="11.28515625" bestFit="1" customWidth="1"/>
    <col min="10" max="10" width="19.5703125" bestFit="1" customWidth="1"/>
    <col min="11" max="11" width="17.85546875" bestFit="1" customWidth="1"/>
  </cols>
  <sheetData>
    <row r="1" spans="1:36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6" t="s">
        <v>85</v>
      </c>
      <c r="B29" s="6" t="s">
        <v>12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s="6" t="s">
        <v>2</v>
      </c>
      <c r="B30" s="7">
        <v>0.05</v>
      </c>
      <c r="C30" s="7">
        <v>0.1</v>
      </c>
      <c r="D30" s="7">
        <v>0.15</v>
      </c>
      <c r="E30" s="7">
        <v>0.2</v>
      </c>
      <c r="F30" s="7">
        <v>0.25</v>
      </c>
      <c r="G30" s="7">
        <v>0.3</v>
      </c>
      <c r="H30" s="7" t="s">
        <v>86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6" t="s">
        <v>49</v>
      </c>
      <c r="B31" s="8">
        <v>3294</v>
      </c>
      <c r="C31" s="8">
        <v>8676</v>
      </c>
      <c r="D31" s="8">
        <v>3852</v>
      </c>
      <c r="E31" s="8">
        <v>1206</v>
      </c>
      <c r="F31" s="8">
        <v>4632</v>
      </c>
      <c r="G31" s="8">
        <v>150</v>
      </c>
      <c r="H31" s="8">
        <v>21810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6" t="s">
        <v>30</v>
      </c>
      <c r="B32" s="8">
        <v>1134</v>
      </c>
      <c r="C32" s="8">
        <v>13569</v>
      </c>
      <c r="D32" s="8">
        <v>4743</v>
      </c>
      <c r="E32" s="8">
        <v>5874</v>
      </c>
      <c r="F32" s="8"/>
      <c r="G32" s="8">
        <v>1114</v>
      </c>
      <c r="H32" s="8">
        <v>26434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6" t="s">
        <v>52</v>
      </c>
      <c r="B33" s="8">
        <v>1462</v>
      </c>
      <c r="C33" s="8"/>
      <c r="D33" s="8">
        <v>6310</v>
      </c>
      <c r="E33" s="8"/>
      <c r="F33" s="8"/>
      <c r="G33" s="8">
        <v>19330</v>
      </c>
      <c r="H33" s="8">
        <v>27102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5">
      <c r="A34" s="6" t="s">
        <v>35</v>
      </c>
      <c r="B34" s="8">
        <v>916</v>
      </c>
      <c r="C34" s="8">
        <v>1222</v>
      </c>
      <c r="D34" s="8">
        <v>3128</v>
      </c>
      <c r="E34" s="8">
        <v>4832</v>
      </c>
      <c r="F34" s="8">
        <v>9112</v>
      </c>
      <c r="G34" s="8">
        <v>7014</v>
      </c>
      <c r="H34" s="8">
        <v>26224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5">
      <c r="A35" s="6" t="s">
        <v>24</v>
      </c>
      <c r="B35" s="8"/>
      <c r="C35" s="8">
        <v>19499</v>
      </c>
      <c r="D35" s="8">
        <v>739</v>
      </c>
      <c r="E35" s="8">
        <v>2818</v>
      </c>
      <c r="F35" s="8"/>
      <c r="G35" s="8">
        <v>905</v>
      </c>
      <c r="H35" s="8">
        <v>23961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5">
      <c r="A36" s="6" t="s">
        <v>39</v>
      </c>
      <c r="B36" s="8">
        <v>2478</v>
      </c>
      <c r="C36" s="8">
        <v>3152</v>
      </c>
      <c r="D36" s="8"/>
      <c r="E36" s="8">
        <v>5842</v>
      </c>
      <c r="F36" s="8">
        <v>4686</v>
      </c>
      <c r="G36" s="8">
        <v>2260</v>
      </c>
      <c r="H36" s="8">
        <v>18418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x14ac:dyDescent="0.25">
      <c r="A37" s="6" t="s">
        <v>16</v>
      </c>
      <c r="B37" s="8">
        <v>12541</v>
      </c>
      <c r="C37" s="8"/>
      <c r="D37" s="8">
        <v>146</v>
      </c>
      <c r="E37" s="8">
        <v>2338</v>
      </c>
      <c r="F37" s="8">
        <v>5682</v>
      </c>
      <c r="G37" s="8">
        <v>4924</v>
      </c>
      <c r="H37" s="8">
        <v>25631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x14ac:dyDescent="0.25">
      <c r="A38" s="6" t="s">
        <v>86</v>
      </c>
      <c r="B38" s="8">
        <v>21825</v>
      </c>
      <c r="C38" s="8">
        <v>46118</v>
      </c>
      <c r="D38" s="8">
        <v>18918</v>
      </c>
      <c r="E38" s="8">
        <v>22910</v>
      </c>
      <c r="F38" s="8">
        <v>24112</v>
      </c>
      <c r="G38" s="8">
        <v>35697</v>
      </c>
      <c r="H38" s="8">
        <v>169580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x14ac:dyDescent="0.25">
      <c r="A42" s="6" t="s">
        <v>87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x14ac:dyDescent="0.25">
      <c r="A43" s="6" t="s">
        <v>2</v>
      </c>
      <c r="B43" s="6" t="s">
        <v>85</v>
      </c>
      <c r="C43" s="6"/>
      <c r="D43" s="6" t="s">
        <v>88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x14ac:dyDescent="0.25">
      <c r="A44" s="6" t="s">
        <v>16</v>
      </c>
      <c r="B44" s="8">
        <v>382150</v>
      </c>
      <c r="C44" s="6"/>
      <c r="D44" s="6" t="s">
        <v>3</v>
      </c>
      <c r="E44" s="6" t="s">
        <v>89</v>
      </c>
      <c r="F44" s="6"/>
      <c r="G44" s="6" t="s">
        <v>90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x14ac:dyDescent="0.25">
      <c r="A45" s="6" t="s">
        <v>30</v>
      </c>
      <c r="B45" s="8">
        <v>343003</v>
      </c>
      <c r="C45" s="6"/>
      <c r="D45" t="s">
        <v>75</v>
      </c>
      <c r="E45" s="3">
        <v>9</v>
      </c>
      <c r="F45" s="6"/>
      <c r="G45" s="6" t="s">
        <v>9</v>
      </c>
      <c r="H45" s="6" t="s">
        <v>85</v>
      </c>
      <c r="I45" s="6"/>
      <c r="J45" s="6" t="s">
        <v>11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x14ac:dyDescent="0.25">
      <c r="A46" s="6" t="s">
        <v>52</v>
      </c>
      <c r="B46" s="8">
        <v>299664</v>
      </c>
      <c r="C46" s="6"/>
      <c r="D46" t="s">
        <v>74</v>
      </c>
      <c r="E46" s="3">
        <v>14</v>
      </c>
      <c r="F46" s="6"/>
      <c r="G46" t="s">
        <v>26</v>
      </c>
      <c r="H46" s="3">
        <v>3693</v>
      </c>
      <c r="I46" s="6"/>
      <c r="J46" s="6" t="s">
        <v>11</v>
      </c>
      <c r="K46" s="6" t="s">
        <v>85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5">
      <c r="A47" s="6" t="s">
        <v>39</v>
      </c>
      <c r="B47" s="8">
        <v>292894</v>
      </c>
      <c r="C47" s="6"/>
      <c r="D47" t="s">
        <v>25</v>
      </c>
      <c r="E47" s="3">
        <v>9</v>
      </c>
      <c r="F47" s="6"/>
      <c r="G47" s="6" t="s">
        <v>43</v>
      </c>
      <c r="H47" s="8">
        <v>8915</v>
      </c>
      <c r="I47" s="6"/>
      <c r="J47" s="6" t="s">
        <v>34</v>
      </c>
      <c r="K47" s="8">
        <v>21555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t="s">
        <v>35</v>
      </c>
      <c r="B48" s="3">
        <v>289403</v>
      </c>
      <c r="D48" t="s">
        <v>66</v>
      </c>
      <c r="E48" s="3">
        <v>9</v>
      </c>
      <c r="G48" t="s">
        <v>63</v>
      </c>
      <c r="H48" s="3">
        <v>10048</v>
      </c>
      <c r="J48" t="s">
        <v>38</v>
      </c>
      <c r="K48" s="3">
        <v>28630</v>
      </c>
    </row>
    <row r="49" spans="1:11" x14ac:dyDescent="0.25">
      <c r="A49" t="s">
        <v>24</v>
      </c>
      <c r="B49" s="3">
        <v>285591</v>
      </c>
      <c r="D49" t="s">
        <v>62</v>
      </c>
      <c r="E49" s="3">
        <v>10</v>
      </c>
      <c r="G49" t="s">
        <v>51</v>
      </c>
      <c r="H49" s="3">
        <v>11721</v>
      </c>
      <c r="J49" t="s">
        <v>47</v>
      </c>
      <c r="K49" s="3">
        <v>45929</v>
      </c>
    </row>
    <row r="50" spans="1:11" x14ac:dyDescent="0.25">
      <c r="A50" t="s">
        <v>49</v>
      </c>
      <c r="B50" s="3">
        <v>267102</v>
      </c>
      <c r="D50" t="s">
        <v>69</v>
      </c>
      <c r="E50" s="3">
        <v>9</v>
      </c>
      <c r="G50" t="s">
        <v>48</v>
      </c>
      <c r="H50" s="3">
        <v>15291</v>
      </c>
      <c r="J50" t="s">
        <v>28</v>
      </c>
      <c r="K50" s="3">
        <v>38988</v>
      </c>
    </row>
    <row r="51" spans="1:11" x14ac:dyDescent="0.25">
      <c r="A51" t="s">
        <v>86</v>
      </c>
      <c r="B51" s="3">
        <v>2159807</v>
      </c>
      <c r="D51" t="s">
        <v>82</v>
      </c>
      <c r="E51" s="3">
        <v>13</v>
      </c>
      <c r="G51" t="s">
        <v>58</v>
      </c>
      <c r="H51" s="3">
        <v>19924</v>
      </c>
      <c r="J51" t="s">
        <v>21</v>
      </c>
      <c r="K51" s="3">
        <v>34478</v>
      </c>
    </row>
    <row r="52" spans="1:11" x14ac:dyDescent="0.25">
      <c r="D52" t="s">
        <v>64</v>
      </c>
      <c r="E52" s="3">
        <v>14</v>
      </c>
      <c r="G52" t="s">
        <v>41</v>
      </c>
      <c r="H52" s="3">
        <v>20951</v>
      </c>
      <c r="J52" t="s">
        <v>86</v>
      </c>
      <c r="K52" s="3">
        <v>169580</v>
      </c>
    </row>
    <row r="53" spans="1:11" x14ac:dyDescent="0.25">
      <c r="D53" t="s">
        <v>54</v>
      </c>
      <c r="E53" s="3">
        <v>9</v>
      </c>
      <c r="G53" s="6" t="s">
        <v>19</v>
      </c>
      <c r="H53" s="8">
        <v>21252</v>
      </c>
    </row>
    <row r="54" spans="1:11" x14ac:dyDescent="0.25">
      <c r="D54" t="s">
        <v>77</v>
      </c>
      <c r="E54" s="3">
        <v>9</v>
      </c>
      <c r="G54" t="s">
        <v>60</v>
      </c>
      <c r="H54" s="3">
        <v>27744</v>
      </c>
    </row>
    <row r="55" spans="1:11" x14ac:dyDescent="0.25">
      <c r="D55" t="s">
        <v>86</v>
      </c>
      <c r="E55" s="3">
        <v>105</v>
      </c>
      <c r="G55" t="s">
        <v>55</v>
      </c>
      <c r="H55" s="3">
        <v>30041</v>
      </c>
    </row>
    <row r="56" spans="1:11" x14ac:dyDescent="0.25">
      <c r="G56" t="s">
        <v>86</v>
      </c>
      <c r="H56" s="3">
        <v>169580</v>
      </c>
    </row>
    <row r="62" spans="1:11" x14ac:dyDescent="0.25">
      <c r="B62" t="s">
        <v>91</v>
      </c>
    </row>
    <row r="63" spans="1:11" x14ac:dyDescent="0.25">
      <c r="B63" s="4" t="s">
        <v>85</v>
      </c>
      <c r="C63" s="4" t="s">
        <v>8</v>
      </c>
    </row>
    <row r="64" spans="1:11" x14ac:dyDescent="0.25">
      <c r="B64" s="4" t="s">
        <v>15</v>
      </c>
      <c r="C64" t="s">
        <v>18</v>
      </c>
      <c r="D64" t="s">
        <v>32</v>
      </c>
      <c r="E64" t="s">
        <v>86</v>
      </c>
    </row>
    <row r="65" spans="1:5" x14ac:dyDescent="0.25">
      <c r="B65" t="s">
        <v>92</v>
      </c>
      <c r="C65" s="3">
        <v>50266</v>
      </c>
      <c r="D65" s="3">
        <v>44020</v>
      </c>
      <c r="E65" s="3">
        <v>94286</v>
      </c>
    </row>
    <row r="66" spans="1:5" x14ac:dyDescent="0.25">
      <c r="B66" t="s">
        <v>93</v>
      </c>
      <c r="C66" s="3">
        <v>20477</v>
      </c>
      <c r="D66" s="3">
        <v>23571</v>
      </c>
      <c r="E66" s="3">
        <v>44048</v>
      </c>
    </row>
    <row r="67" spans="1:5" x14ac:dyDescent="0.25">
      <c r="B67" t="s">
        <v>23</v>
      </c>
      <c r="C67" s="3">
        <v>10186</v>
      </c>
      <c r="D67" s="3">
        <v>21060</v>
      </c>
      <c r="E67" s="3">
        <v>31246</v>
      </c>
    </row>
    <row r="68" spans="1:5" x14ac:dyDescent="0.25">
      <c r="B68" t="s">
        <v>86</v>
      </c>
      <c r="C68" s="3">
        <v>80929</v>
      </c>
      <c r="D68" s="3">
        <v>88651</v>
      </c>
      <c r="E68" s="3">
        <v>169580</v>
      </c>
    </row>
    <row r="78" spans="1:5" x14ac:dyDescent="0.25">
      <c r="A78" s="4" t="s">
        <v>10</v>
      </c>
      <c r="B78" t="s">
        <v>94</v>
      </c>
    </row>
    <row r="79" spans="1:5" x14ac:dyDescent="0.25">
      <c r="A79" t="s">
        <v>45</v>
      </c>
      <c r="B79" s="9">
        <v>12</v>
      </c>
    </row>
    <row r="80" spans="1:5" x14ac:dyDescent="0.25">
      <c r="A80" t="s">
        <v>27</v>
      </c>
      <c r="B80" s="9">
        <v>13</v>
      </c>
    </row>
    <row r="81" spans="1:2" x14ac:dyDescent="0.25">
      <c r="A81" t="s">
        <v>33</v>
      </c>
      <c r="B81" s="9">
        <v>9</v>
      </c>
    </row>
    <row r="82" spans="1:2" x14ac:dyDescent="0.25">
      <c r="A82" t="s">
        <v>20</v>
      </c>
      <c r="B82" s="9">
        <v>13</v>
      </c>
    </row>
    <row r="83" spans="1:2" x14ac:dyDescent="0.25">
      <c r="A83" t="s">
        <v>42</v>
      </c>
      <c r="B83" s="9">
        <v>16</v>
      </c>
    </row>
    <row r="84" spans="1:2" x14ac:dyDescent="0.25">
      <c r="A84" t="s">
        <v>37</v>
      </c>
      <c r="B84" s="9">
        <v>12</v>
      </c>
    </row>
    <row r="85" spans="1:2" x14ac:dyDescent="0.25">
      <c r="A85" t="s">
        <v>86</v>
      </c>
      <c r="B85" s="9">
        <v>75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Dasbboard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chetan kumar</cp:lastModifiedBy>
  <cp:revision/>
  <dcterms:created xsi:type="dcterms:W3CDTF">2025-02-27T05:47:32Z</dcterms:created>
  <dcterms:modified xsi:type="dcterms:W3CDTF">2025-11-16T09:06:22Z</dcterms:modified>
  <cp:category/>
  <cp:contentStatus/>
</cp:coreProperties>
</file>